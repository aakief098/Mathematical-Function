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A3776436-65A8-4803-BF8B-7490FE2DD6AE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Chapter3" sheetId="1" r:id="rId1"/>
    <sheet name="FUNCTIONS" sheetId="2" r:id="rId2"/>
    <sheet name="MATHEMATICAL FUNCTION" sheetId="3" r:id="rId3"/>
    <sheet name="DESCRIPTION" sheetId="4" r:id="rId4"/>
    <sheet name="SUM,AVERAGE,ROUND,MAX,MIN" sheetId="5" r:id="rId5"/>
    <sheet name="Transportation_Cost_Analysis" sheetId="6" r:id="rId6"/>
    <sheet name="DESCRIPTIONS" sheetId="7" r:id="rId7"/>
    <sheet name="COUNT,COUNTA" sheetId="8" r:id="rId8"/>
    <sheet name="Product_Pricing&amp;Discount_Regist" sheetId="9" r:id="rId9"/>
    <sheet name="EXCERCISE-1 " sheetId="10" r:id="rId10"/>
    <sheet name="Description_Sumif" sheetId="11" r:id="rId11"/>
    <sheet name="EXCERCISE-2" sheetId="12" r:id="rId12"/>
    <sheet name="Description_Sumifs" sheetId="13" r:id="rId13"/>
    <sheet name="SUMIFS" sheetId="14" r:id="rId14"/>
    <sheet name="SUMIF" sheetId="15" r:id="rId15"/>
    <sheet name="EXCERCISE-3" sheetId="16" r:id="rId16"/>
    <sheet name="Description_Countif" sheetId="17" r:id="rId17"/>
    <sheet name="Description_Countifs" sheetId="18" r:id="rId18"/>
    <sheet name="COUNTIF&amp;COUNTIFS" sheetId="19" r:id="rId19"/>
    <sheet name="EXCERCISE-4" sheetId="20" r:id="rId20"/>
  </sheets>
  <definedNames>
    <definedName name="_xlnm._FilterDatabase" localSheetId="4" hidden="1">'SUM,AVERAGE,ROUND,MAX,MIN'!$B$3:$H$17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4" roundtripDataChecksum="TL8dMiN9oAn8Qj8uimL61IgjD5SdKP89B9az6c2vjMg="/>
    </ext>
  </extLst>
</workbook>
</file>

<file path=xl/calcChain.xml><?xml version="1.0" encoding="utf-8"?>
<calcChain xmlns="http://schemas.openxmlformats.org/spreadsheetml/2006/main">
  <c r="K20" i="6" l="1"/>
  <c r="K19" i="6"/>
  <c r="K18" i="6"/>
  <c r="E14" i="6"/>
  <c r="F14" i="6"/>
  <c r="G14" i="6"/>
  <c r="D14" i="6"/>
  <c r="G19" i="8"/>
  <c r="G17" i="8"/>
  <c r="G15" i="8"/>
  <c r="K16" i="6"/>
  <c r="K15" i="6"/>
  <c r="Q18" i="20"/>
  <c r="Q16" i="20"/>
  <c r="Q14" i="20"/>
  <c r="Q12" i="20"/>
  <c r="Q10" i="20"/>
  <c r="Q8" i="20"/>
  <c r="Q6" i="20"/>
  <c r="J20" i="20"/>
  <c r="J18" i="20"/>
  <c r="J16" i="20"/>
  <c r="J14" i="20"/>
  <c r="J12" i="20"/>
  <c r="J10" i="20"/>
  <c r="J8" i="20"/>
  <c r="J6" i="20"/>
  <c r="P12" i="19"/>
  <c r="O10" i="19"/>
  <c r="O7" i="19"/>
  <c r="O6" i="19"/>
  <c r="O4" i="19"/>
  <c r="V21" i="16"/>
  <c r="V17" i="16"/>
  <c r="V13" i="16"/>
  <c r="V11" i="16"/>
  <c r="V19" i="16"/>
  <c r="V15" i="16"/>
  <c r="V9" i="16"/>
  <c r="V7" i="16"/>
  <c r="V5" i="16"/>
  <c r="V3" i="16"/>
  <c r="T11" i="14"/>
  <c r="T9" i="14"/>
  <c r="T7" i="14"/>
  <c r="R5" i="14"/>
  <c r="R3" i="14"/>
  <c r="S31" i="12"/>
  <c r="T27" i="12"/>
  <c r="S25" i="12"/>
  <c r="S21" i="12"/>
  <c r="S19" i="12"/>
  <c r="S11" i="12"/>
  <c r="S9" i="12"/>
  <c r="S7" i="12"/>
  <c r="O9" i="15"/>
  <c r="O7" i="15"/>
  <c r="O5" i="15"/>
  <c r="O3" i="15"/>
  <c r="S5" i="12"/>
  <c r="S3" i="12"/>
  <c r="S27" i="12"/>
  <c r="R25" i="12"/>
  <c r="R21" i="12"/>
  <c r="R19" i="12"/>
  <c r="R11" i="12"/>
  <c r="R9" i="12"/>
  <c r="R7" i="12"/>
  <c r="R5" i="12"/>
  <c r="R3" i="12"/>
  <c r="R26" i="10" a="1"/>
  <c r="R26" i="10" s="1"/>
  <c r="L17" i="6"/>
  <c r="K17" i="6"/>
  <c r="N14" i="6"/>
  <c r="G19" i="5"/>
  <c r="F19" i="5"/>
  <c r="E19" i="5"/>
  <c r="G18" i="5"/>
  <c r="F18" i="5"/>
  <c r="E18" i="5"/>
  <c r="G17" i="5"/>
  <c r="F17" i="5"/>
  <c r="E17" i="5"/>
  <c r="G16" i="5"/>
  <c r="F16" i="5"/>
  <c r="E16" i="5"/>
  <c r="L13" i="5"/>
  <c r="K13" i="5"/>
  <c r="J13" i="5"/>
  <c r="I13" i="5"/>
  <c r="H13" i="5"/>
  <c r="I12" i="5"/>
  <c r="J12" i="5" s="1"/>
  <c r="H12" i="5"/>
  <c r="L11" i="5"/>
  <c r="I11" i="5"/>
  <c r="K11" i="5" s="1"/>
  <c r="H11" i="5"/>
  <c r="L10" i="5"/>
  <c r="K10" i="5"/>
  <c r="J10" i="5"/>
  <c r="I10" i="5"/>
  <c r="H10" i="5"/>
  <c r="I9" i="5"/>
  <c r="L9" i="5" s="1"/>
  <c r="H9" i="5"/>
  <c r="L8" i="5"/>
  <c r="K8" i="5"/>
  <c r="I8" i="5"/>
  <c r="J8" i="5" s="1"/>
  <c r="H8" i="5"/>
  <c r="I7" i="5"/>
  <c r="K7" i="5" s="1"/>
  <c r="H7" i="5"/>
  <c r="I6" i="5"/>
  <c r="L6" i="5" s="1"/>
  <c r="H6" i="5"/>
  <c r="L5" i="5"/>
  <c r="K5" i="5"/>
  <c r="J5" i="5"/>
  <c r="I5" i="5"/>
  <c r="H5" i="5"/>
  <c r="I4" i="5"/>
  <c r="J4" i="5" s="1"/>
  <c r="H4" i="5"/>
  <c r="K4" i="5" l="1"/>
  <c r="L7" i="5"/>
  <c r="J9" i="5"/>
  <c r="K12" i="5"/>
  <c r="L4" i="5"/>
  <c r="J6" i="5"/>
  <c r="K9" i="5"/>
  <c r="L12" i="5"/>
  <c r="K6" i="5"/>
  <c r="J11" i="5"/>
  <c r="J7" i="5"/>
</calcChain>
</file>

<file path=xl/sharedStrings.xml><?xml version="1.0" encoding="utf-8"?>
<sst xmlns="http://schemas.openxmlformats.org/spreadsheetml/2006/main" count="583" uniqueCount="342">
  <si>
    <r>
      <rPr>
        <sz val="11"/>
        <color theme="1"/>
        <rFont val="Calibri"/>
      </rPr>
      <t xml:space="preserve">                                                                                                                                   </t>
    </r>
    <r>
      <rPr>
        <b/>
        <u/>
        <sz val="20"/>
        <color theme="1"/>
        <rFont val="Calibri"/>
      </rPr>
      <t>FUNCTIONS</t>
    </r>
  </si>
  <si>
    <r>
      <rPr>
        <sz val="14"/>
        <color theme="1"/>
        <rFont val="Calibri"/>
      </rPr>
      <t>•</t>
    </r>
    <r>
      <rPr>
        <sz val="14"/>
        <color rgb="FF000000"/>
        <rFont val="Arial"/>
      </rPr>
      <t>MATHEMATICAL FUNCTIONS</t>
    </r>
  </si>
  <si>
    <r>
      <rPr>
        <sz val="14"/>
        <color theme="1"/>
        <rFont val="Calibri"/>
      </rPr>
      <t>•</t>
    </r>
    <r>
      <rPr>
        <sz val="14"/>
        <color rgb="FF000000"/>
        <rFont val="Arial"/>
      </rPr>
      <t>TEXT FUNCTIONS</t>
    </r>
  </si>
  <si>
    <r>
      <rPr>
        <sz val="14"/>
        <color theme="1"/>
        <rFont val="Calibri"/>
      </rPr>
      <t>•</t>
    </r>
    <r>
      <rPr>
        <sz val="14"/>
        <color rgb="FF000000"/>
        <rFont val="Arial"/>
      </rPr>
      <t>DATE AND TIME FUNCTION</t>
    </r>
  </si>
  <si>
    <r>
      <rPr>
        <sz val="14"/>
        <color theme="1"/>
        <rFont val="Calibri"/>
      </rPr>
      <t>•</t>
    </r>
    <r>
      <rPr>
        <sz val="14"/>
        <color rgb="FF000000"/>
        <rFont val="Arial"/>
      </rPr>
      <t>LOGICAL FUNCTION</t>
    </r>
  </si>
  <si>
    <r>
      <rPr>
        <sz val="14"/>
        <color theme="1"/>
        <rFont val="Calibri"/>
      </rPr>
      <t>•</t>
    </r>
    <r>
      <rPr>
        <sz val="14"/>
        <color rgb="FF000000"/>
        <rFont val="Arial"/>
      </rPr>
      <t>DATA VALIDATION AND FILTER</t>
    </r>
  </si>
  <si>
    <t xml:space="preserve">                                                               MATHEMATICAL FUNCTIONS</t>
  </si>
  <si>
    <t>1. SUM()</t>
  </si>
  <si>
    <t>5. MIN()</t>
  </si>
  <si>
    <t>9.POWER()</t>
  </si>
  <si>
    <t>13.SUMIF()</t>
  </si>
  <si>
    <t>2.AVERAGE()</t>
  </si>
  <si>
    <t>6.COUNT()</t>
  </si>
  <si>
    <t>10.SQRT()</t>
  </si>
  <si>
    <t>14.COUNTIF()</t>
  </si>
  <si>
    <t>3.ROUND()</t>
  </si>
  <si>
    <t>7.COUNTA()</t>
  </si>
  <si>
    <t>11.MAX()</t>
  </si>
  <si>
    <t>15.SUMIFS()</t>
  </si>
  <si>
    <t>4.ROUNDUP()</t>
  </si>
  <si>
    <t>8.ROUNDDOWN()</t>
  </si>
  <si>
    <t>12.PRODUCT()</t>
  </si>
  <si>
    <t>16.COUNTIFS()</t>
  </si>
  <si>
    <t xml:space="preserve">                                                                      SUM(),  AVERAGE(), ROUND(), MAX(), MIN()</t>
  </si>
  <si>
    <t>NO</t>
  </si>
  <si>
    <t>NAME</t>
  </si>
  <si>
    <t>ROLL NO</t>
  </si>
  <si>
    <t>MARK-1</t>
  </si>
  <si>
    <t>MARK-2</t>
  </si>
  <si>
    <t>MARK-3</t>
  </si>
  <si>
    <t>TOTAL</t>
  </si>
  <si>
    <t>AVERAGE</t>
  </si>
  <si>
    <t>ROUND</t>
  </si>
  <si>
    <t>ROUNDUP</t>
  </si>
  <si>
    <t>ROUNDDOWN</t>
  </si>
  <si>
    <t>ASKER</t>
  </si>
  <si>
    <t>0000001</t>
  </si>
  <si>
    <t>AFRATH</t>
  </si>
  <si>
    <t>0000002</t>
  </si>
  <si>
    <t>NISAR</t>
  </si>
  <si>
    <t>0000003</t>
  </si>
  <si>
    <t>AMJATH</t>
  </si>
  <si>
    <t>0000004</t>
  </si>
  <si>
    <t>RAMU</t>
  </si>
  <si>
    <t>0000005</t>
  </si>
  <si>
    <t>AJESH</t>
  </si>
  <si>
    <t>0000006</t>
  </si>
  <si>
    <t>NOUFAL</t>
  </si>
  <si>
    <t>0000007</t>
  </si>
  <si>
    <t>ANVER</t>
  </si>
  <si>
    <t>0000008</t>
  </si>
  <si>
    <t>BALU</t>
  </si>
  <si>
    <t>0000009</t>
  </si>
  <si>
    <t>KARTHIK</t>
  </si>
  <si>
    <t>0000010</t>
  </si>
  <si>
    <t>MAXIMUM</t>
  </si>
  <si>
    <t>MINIMUM</t>
  </si>
  <si>
    <t>LARGE</t>
  </si>
  <si>
    <t>SMALL</t>
  </si>
  <si>
    <r>
      <rPr>
        <u/>
        <sz val="16"/>
        <color rgb="FF00B0F0"/>
        <rFont val="Calibri"/>
      </rPr>
      <t>🚚</t>
    </r>
    <r>
      <rPr>
        <u/>
        <sz val="16"/>
        <color theme="1"/>
        <rFont val="Calibri"/>
      </rPr>
      <t xml:space="preserve"> </t>
    </r>
    <r>
      <rPr>
        <b/>
        <u/>
        <sz val="16"/>
        <color theme="1"/>
        <rFont val="Calibri"/>
      </rPr>
      <t>Transportation Cost Analysis</t>
    </r>
  </si>
  <si>
    <t>Trip_ID</t>
  </si>
  <si>
    <t>Distance (km)</t>
  </si>
  <si>
    <t>Fuel ₹/km</t>
  </si>
  <si>
    <t>Toll ₹</t>
  </si>
  <si>
    <t>Wage ₹</t>
  </si>
  <si>
    <t>Goods ₹</t>
  </si>
  <si>
    <t>Insurance %</t>
  </si>
  <si>
    <t>Fuel Cost ₹</t>
  </si>
  <si>
    <t>Insurance ₹</t>
  </si>
  <si>
    <t xml:space="preserve"> Trip Cost ₹</t>
  </si>
  <si>
    <t>Cost/km ₹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</si>
  <si>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</si>
  <si>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</si>
  <si>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</si>
  <si>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</si>
  <si>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</si>
  <si>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</si>
  <si>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</si>
  <si>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</si>
  <si>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</si>
  <si>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</si>
  <si>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r>
      <rPr>
        <sz val="11"/>
        <color theme="1"/>
        <rFont val="Calibri"/>
      </rPr>
      <t xml:space="preserve">What is the total </t>
    </r>
    <r>
      <rPr>
        <b/>
        <sz val="11"/>
        <color theme="1"/>
        <rFont val="Calibri"/>
      </rPr>
      <t>Fuel Cost</t>
    </r>
    <r>
      <rPr>
        <sz val="11"/>
        <color theme="1"/>
        <rFont val="Calibri"/>
      </rPr>
      <t xml:space="preserve"> for all trips          </t>
    </r>
    <r>
      <rPr>
        <sz val="11"/>
        <color rgb="FFFF0000"/>
        <rFont val="Calibri"/>
      </rPr>
      <t xml:space="preserve"> SUM()</t>
    </r>
  </si>
  <si>
    <r>
      <rPr>
        <sz val="11"/>
        <color theme="1"/>
        <rFont val="Calibri"/>
      </rPr>
      <t xml:space="preserve">What is the </t>
    </r>
    <r>
      <rPr>
        <b/>
        <sz val="11"/>
        <color theme="1"/>
        <rFont val="Calibri"/>
      </rPr>
      <t>average cost per km</t>
    </r>
    <r>
      <rPr>
        <sz val="11"/>
        <color theme="1"/>
        <rFont val="Calibri"/>
      </rPr>
      <t xml:space="preserve"> for all trips?   </t>
    </r>
    <r>
      <rPr>
        <sz val="11"/>
        <color rgb="FFFF0000"/>
        <rFont val="Calibri"/>
      </rPr>
      <t>AVERAGE()</t>
    </r>
  </si>
  <si>
    <r>
      <rPr>
        <sz val="11"/>
        <color theme="1"/>
        <rFont val="Calibri"/>
      </rPr>
      <t xml:space="preserve">Round the </t>
    </r>
    <r>
      <rPr>
        <b/>
        <sz val="11"/>
        <color theme="1"/>
        <rFont val="Calibri"/>
      </rPr>
      <t>total trip cost</t>
    </r>
    <r>
      <rPr>
        <sz val="11"/>
        <color theme="1"/>
        <rFont val="Calibri"/>
      </rPr>
      <t xml:space="preserve"> to 1 decimal places      </t>
    </r>
    <r>
      <rPr>
        <sz val="11"/>
        <color rgb="FFFF0000"/>
        <rFont val="Calibri"/>
      </rPr>
      <t>ROUND()</t>
    </r>
  </si>
  <si>
    <r>
      <rPr>
        <sz val="11"/>
        <color theme="1"/>
        <rFont val="Calibri"/>
      </rPr>
      <t xml:space="preserve">Round up the Total Fuel ₹/km of a trip to the next whole number.   </t>
    </r>
    <r>
      <rPr>
        <sz val="11"/>
        <color rgb="FFFF0000"/>
        <rFont val="Calibri"/>
      </rPr>
      <t>ROUNDUP()</t>
    </r>
  </si>
  <si>
    <r>
      <rPr>
        <sz val="11"/>
        <color theme="1"/>
        <rFont val="Calibri"/>
      </rPr>
      <t xml:space="preserve">What is the minimum distance (km) covered in a trip?      </t>
    </r>
    <r>
      <rPr>
        <sz val="11"/>
        <color rgb="FFFF0000"/>
        <rFont val="Calibri"/>
      </rPr>
      <t>MIN()</t>
    </r>
  </si>
  <si>
    <r>
      <rPr>
        <sz val="11"/>
        <color theme="1"/>
        <rFont val="Calibri"/>
      </rPr>
      <t xml:space="preserve">What is the maximum fuel cost among all trips?  </t>
    </r>
    <r>
      <rPr>
        <sz val="11"/>
        <color rgb="FFFF0000"/>
        <rFont val="Calibri"/>
      </rPr>
      <t>MAX()</t>
    </r>
  </si>
  <si>
    <t xml:space="preserve">                                                                      COUNT(),COUNTA(),ABSOLUTE(),SQRT(),PRODUCT(),POWER()</t>
  </si>
  <si>
    <t>E1</t>
  </si>
  <si>
    <t>E2</t>
  </si>
  <si>
    <t>E3</t>
  </si>
  <si>
    <t>E1-E2</t>
  </si>
  <si>
    <t>ABS</t>
  </si>
  <si>
    <t>Count</t>
  </si>
  <si>
    <t>AB</t>
  </si>
  <si>
    <t>COUNTA</t>
  </si>
  <si>
    <t>COUNTBLANK</t>
  </si>
  <si>
    <t xml:space="preserve">Q1) Calculate the number of students?
</t>
  </si>
  <si>
    <t>Q2) Calculate the number of students who attended the 2nd exam.</t>
  </si>
  <si>
    <t>Q2) Calculate the number of STUDENTS who didn’t enter the mark in E3(COUNTBLANK)</t>
  </si>
  <si>
    <r>
      <rPr>
        <b/>
        <u/>
        <sz val="16"/>
        <color rgb="FF92D050"/>
        <rFont val="Calibri"/>
      </rPr>
      <t>🧾</t>
    </r>
    <r>
      <rPr>
        <b/>
        <u/>
        <sz val="16"/>
        <color theme="1"/>
        <rFont val="Calibri"/>
      </rPr>
      <t>Product Pricing and Discount Register</t>
    </r>
  </si>
  <si>
    <t>Product</t>
  </si>
  <si>
    <t>Quantity</t>
  </si>
  <si>
    <t>Rate (₹)</t>
  </si>
  <si>
    <t>Discount %</t>
  </si>
  <si>
    <t>Pen</t>
  </si>
  <si>
    <t>Book</t>
  </si>
  <si>
    <t>How many products have  discount values?</t>
  </si>
  <si>
    <t>Bag</t>
  </si>
  <si>
    <t>Bottle</t>
  </si>
  <si>
    <t>How many products are listed</t>
  </si>
  <si>
    <t>Notebook</t>
  </si>
  <si>
    <t>Pencil</t>
  </si>
  <si>
    <r>
      <rPr>
        <sz val="11"/>
        <color theme="1"/>
        <rFont val="Calibri"/>
      </rPr>
      <t xml:space="preserve">How many products </t>
    </r>
    <r>
      <rPr>
        <b/>
        <sz val="11"/>
        <color theme="1"/>
        <rFont val="Calibri"/>
      </rPr>
      <t>do not have</t>
    </r>
    <r>
      <rPr>
        <sz val="11"/>
        <color theme="1"/>
        <rFont val="Calibri"/>
      </rPr>
      <t xml:space="preserve"> a discount applied</t>
    </r>
  </si>
  <si>
    <t>File</t>
  </si>
  <si>
    <t>Scale</t>
  </si>
  <si>
    <t>Eraser</t>
  </si>
  <si>
    <t>Marker</t>
  </si>
  <si>
    <t>Stapler</t>
  </si>
  <si>
    <t>Tape</t>
  </si>
  <si>
    <t>Folder</t>
  </si>
  <si>
    <t>Box</t>
  </si>
  <si>
    <t>Sharpener</t>
  </si>
  <si>
    <r>
      <rPr>
        <b/>
        <sz val="20"/>
        <color rgb="FFC55A11"/>
        <rFont val="Calibri"/>
      </rPr>
      <t>📦</t>
    </r>
    <r>
      <rPr>
        <b/>
        <sz val="20"/>
        <color theme="1"/>
        <rFont val="Calibri"/>
      </rPr>
      <t>Dispatch Executive Data</t>
    </r>
  </si>
  <si>
    <t>Dispatch ID</t>
  </si>
  <si>
    <t>Product Name</t>
  </si>
  <si>
    <t>Qty Dispatched</t>
  </si>
  <si>
    <t>Weight (kg)</t>
  </si>
  <si>
    <t>Dispatch Cost (₹)</t>
  </si>
  <si>
    <t>Packaging Charge (₹)</t>
  </si>
  <si>
    <t>D1</t>
  </si>
  <si>
    <t>Laptop</t>
  </si>
  <si>
    <r>
      <rPr>
        <sz val="11"/>
        <color theme="1"/>
        <rFont val="Calibri"/>
      </rPr>
      <t xml:space="preserve">1. What is the total </t>
    </r>
    <r>
      <rPr>
        <b/>
        <sz val="11"/>
        <color theme="1"/>
        <rFont val="Calibri"/>
      </rPr>
      <t>Dispatch Cost</t>
    </r>
    <r>
      <rPr>
        <sz val="11"/>
        <color theme="1"/>
        <rFont val="Calibri"/>
      </rPr>
      <t xml:space="preserve"> for all products?</t>
    </r>
  </si>
  <si>
    <t>D2</t>
  </si>
  <si>
    <t>Monitor</t>
  </si>
  <si>
    <t>D3</t>
  </si>
  <si>
    <t>Keyboard</t>
  </si>
  <si>
    <t>NA</t>
  </si>
  <si>
    <r>
      <rPr>
        <sz val="11"/>
        <color theme="1"/>
        <rFont val="Calibri"/>
      </rPr>
      <t xml:space="preserve">2. What is the total </t>
    </r>
    <r>
      <rPr>
        <b/>
        <sz val="11"/>
        <color theme="1"/>
        <rFont val="Calibri"/>
      </rPr>
      <t>Packaging Charges</t>
    </r>
    <r>
      <rPr>
        <sz val="11"/>
        <color theme="1"/>
        <rFont val="Calibri"/>
      </rPr>
      <t xml:space="preserve"> for all dispatches?</t>
    </r>
  </si>
  <si>
    <t>D4</t>
  </si>
  <si>
    <t>Mouse</t>
  </si>
  <si>
    <t>D5</t>
  </si>
  <si>
    <t>Printer</t>
  </si>
  <si>
    <r>
      <rPr>
        <sz val="11"/>
        <color theme="1"/>
        <rFont val="Calibri"/>
      </rPr>
      <t xml:space="preserve">3. What is the total </t>
    </r>
    <r>
      <rPr>
        <b/>
        <sz val="11"/>
        <color theme="1"/>
        <rFont val="Calibri"/>
      </rPr>
      <t>Quantity Dispatched</t>
    </r>
    <r>
      <rPr>
        <sz val="11"/>
        <color theme="1"/>
        <rFont val="Calibri"/>
      </rPr>
      <t>?</t>
    </r>
  </si>
  <si>
    <t>D6</t>
  </si>
  <si>
    <t>Scanner</t>
  </si>
  <si>
    <t>D7</t>
  </si>
  <si>
    <t>Tablet</t>
  </si>
  <si>
    <r>
      <rPr>
        <sz val="11"/>
        <color theme="1"/>
        <rFont val="Calibri"/>
      </rPr>
      <t xml:space="preserve">4. What is the </t>
    </r>
    <r>
      <rPr>
        <b/>
        <sz val="11"/>
        <color theme="1"/>
        <rFont val="Calibri"/>
      </rPr>
      <t>average Weight (kg)</t>
    </r>
    <r>
      <rPr>
        <sz val="11"/>
        <color theme="1"/>
        <rFont val="Calibri"/>
      </rPr>
      <t xml:space="preserve"> of the dispatched items?</t>
    </r>
  </si>
  <si>
    <t>D8</t>
  </si>
  <si>
    <t>Router</t>
  </si>
  <si>
    <t>D9</t>
  </si>
  <si>
    <t>Speaker</t>
  </si>
  <si>
    <r>
      <rPr>
        <sz val="11"/>
        <color theme="1"/>
        <rFont val="Calibri"/>
      </rPr>
      <t xml:space="preserve">5. What is the </t>
    </r>
    <r>
      <rPr>
        <b/>
        <sz val="11"/>
        <color theme="1"/>
        <rFont val="Calibri"/>
      </rPr>
      <t>average Dispatch Cost</t>
    </r>
    <r>
      <rPr>
        <sz val="11"/>
        <color theme="1"/>
        <rFont val="Calibri"/>
      </rPr>
      <t>?</t>
    </r>
  </si>
  <si>
    <t>D10</t>
  </si>
  <si>
    <t>Hard Drive</t>
  </si>
  <si>
    <t>D11</t>
  </si>
  <si>
    <t>Cable</t>
  </si>
  <si>
    <r>
      <rPr>
        <sz val="11"/>
        <color theme="1"/>
        <rFont val="Calibri"/>
      </rPr>
      <t xml:space="preserve">6. What is the average </t>
    </r>
    <r>
      <rPr>
        <b/>
        <sz val="11"/>
        <color theme="1"/>
        <rFont val="Calibri"/>
      </rPr>
      <t>Packaging Charge</t>
    </r>
    <r>
      <rPr>
        <sz val="11"/>
        <color theme="1"/>
        <rFont val="Calibri"/>
      </rPr>
      <t xml:space="preserve"> per product?</t>
    </r>
  </si>
  <si>
    <t>D12</t>
  </si>
  <si>
    <t>Adapter</t>
  </si>
  <si>
    <t>D13</t>
  </si>
  <si>
    <t>Webcam</t>
  </si>
  <si>
    <r>
      <rPr>
        <sz val="11"/>
        <color theme="1"/>
        <rFont val="Calibri"/>
      </rPr>
      <t xml:space="preserve">7. How many products have  </t>
    </r>
    <r>
      <rPr>
        <b/>
        <sz val="11"/>
        <color theme="1"/>
        <rFont val="Calibri"/>
      </rPr>
      <t>Dispatch Cost</t>
    </r>
    <r>
      <rPr>
        <sz val="11"/>
        <color theme="1"/>
        <rFont val="Calibri"/>
      </rPr>
      <t>?</t>
    </r>
  </si>
  <si>
    <t>D14</t>
  </si>
  <si>
    <t>Charger</t>
  </si>
  <si>
    <t>D15</t>
  </si>
  <si>
    <t>Smartphone</t>
  </si>
  <si>
    <r>
      <rPr>
        <sz val="11"/>
        <color theme="1"/>
        <rFont val="Calibri"/>
      </rPr>
      <t xml:space="preserve">8. How many entries have numeric values in </t>
    </r>
    <r>
      <rPr>
        <b/>
        <sz val="11"/>
        <color theme="1"/>
        <rFont val="Calibri"/>
      </rPr>
      <t>Quantity Dispatched</t>
    </r>
    <r>
      <rPr>
        <sz val="11"/>
        <color theme="1"/>
        <rFont val="Calibri"/>
      </rPr>
      <t>?</t>
    </r>
  </si>
  <si>
    <t>9.How many product names are listed?</t>
  </si>
  <si>
    <r>
      <rPr>
        <sz val="11"/>
        <color theme="1"/>
        <rFont val="Calibri"/>
      </rPr>
      <t xml:space="preserve">10.How many total entries are there in the </t>
    </r>
    <r>
      <rPr>
        <b/>
        <sz val="11"/>
        <color theme="1"/>
        <rFont val="Calibri"/>
      </rPr>
      <t>Packaging Charge</t>
    </r>
    <r>
      <rPr>
        <sz val="11"/>
        <color theme="1"/>
        <rFont val="Calibri"/>
      </rPr>
      <t xml:space="preserve"> column?</t>
    </r>
  </si>
  <si>
    <r>
      <rPr>
        <sz val="11"/>
        <color theme="1"/>
        <rFont val="Calibri"/>
      </rPr>
      <t xml:space="preserve">11. What is the </t>
    </r>
    <r>
      <rPr>
        <b/>
        <sz val="11"/>
        <color theme="1"/>
        <rFont val="Calibri"/>
      </rPr>
      <t>maximum Quantity Dispatched</t>
    </r>
    <r>
      <rPr>
        <sz val="11"/>
        <color theme="1"/>
        <rFont val="Calibri"/>
      </rPr>
      <t>?</t>
    </r>
  </si>
  <si>
    <t>VLOOKU+MAX</t>
  </si>
  <si>
    <r>
      <rPr>
        <sz val="11"/>
        <color theme="1"/>
        <rFont val="Calibri"/>
      </rPr>
      <t xml:space="preserve">12. Which product has the </t>
    </r>
    <r>
      <rPr>
        <b/>
        <sz val="11"/>
        <color theme="1"/>
        <rFont val="Calibri"/>
      </rPr>
      <t>highest Dispatch Cost</t>
    </r>
    <r>
      <rPr>
        <sz val="11"/>
        <color theme="1"/>
        <rFont val="Calibri"/>
      </rPr>
      <t>?</t>
    </r>
  </si>
  <si>
    <r>
      <rPr>
        <sz val="11"/>
        <color theme="1"/>
        <rFont val="Calibri"/>
      </rPr>
      <t xml:space="preserve">13. What is the </t>
    </r>
    <r>
      <rPr>
        <b/>
        <sz val="11"/>
        <color theme="1"/>
        <rFont val="Calibri"/>
      </rPr>
      <t>lowest Packaging Charge</t>
    </r>
    <r>
      <rPr>
        <sz val="11"/>
        <color theme="1"/>
        <rFont val="Calibri"/>
      </rPr>
      <t>?</t>
    </r>
  </si>
  <si>
    <r>
      <rPr>
        <sz val="11"/>
        <color theme="1"/>
        <rFont val="Calibri"/>
      </rPr>
      <t xml:space="preserve">14. Which product has the </t>
    </r>
    <r>
      <rPr>
        <b/>
        <sz val="11"/>
        <color theme="1"/>
        <rFont val="Calibri"/>
      </rPr>
      <t>minimum Weight (kg)</t>
    </r>
    <r>
      <rPr>
        <sz val="11"/>
        <color theme="1"/>
        <rFont val="Calibri"/>
      </rPr>
      <t>?</t>
    </r>
  </si>
  <si>
    <r>
      <rPr>
        <sz val="11"/>
        <color theme="1"/>
        <rFont val="Calibri"/>
      </rPr>
      <t xml:space="preserve">15. Round the </t>
    </r>
    <r>
      <rPr>
        <b/>
        <sz val="11"/>
        <color theme="1"/>
        <rFont val="Calibri"/>
      </rPr>
      <t>Weight</t>
    </r>
    <r>
      <rPr>
        <sz val="11"/>
        <color theme="1"/>
        <rFont val="Calibri"/>
      </rPr>
      <t xml:space="preserve"> of the first product to 1 decimal place.</t>
    </r>
  </si>
  <si>
    <r>
      <rPr>
        <b/>
        <sz val="16"/>
        <color rgb="FF00B050"/>
        <rFont val="Calibri"/>
      </rPr>
      <t>📊</t>
    </r>
    <r>
      <rPr>
        <b/>
        <sz val="16"/>
        <color theme="1"/>
        <rFont val="Calibri"/>
      </rPr>
      <t xml:space="preserve"> Dataset: Supply Chain Order Report</t>
    </r>
  </si>
  <si>
    <t>Order ID</t>
  </si>
  <si>
    <t>Region</t>
  </si>
  <si>
    <t>Product Category</t>
  </si>
  <si>
    <t>Cost per Unit</t>
  </si>
  <si>
    <t>Supplier</t>
  </si>
  <si>
    <r>
      <rPr>
        <sz val="11"/>
        <color theme="1"/>
        <rFont val="Calibri"/>
      </rPr>
      <t xml:space="preserve">Find the total quantity of orders from the </t>
    </r>
    <r>
      <rPr>
        <b/>
        <sz val="11"/>
        <color theme="1"/>
        <rFont val="Calibri"/>
      </rPr>
      <t>North</t>
    </r>
    <r>
      <rPr>
        <sz val="11"/>
        <color theme="1"/>
        <rFont val="Calibri"/>
      </rPr>
      <t xml:space="preserve"> region.</t>
    </r>
  </si>
  <si>
    <t>North</t>
  </si>
  <si>
    <t>Electronics</t>
  </si>
  <si>
    <t>Delta Corp</t>
  </si>
  <si>
    <t>South</t>
  </si>
  <si>
    <t>Furniture</t>
  </si>
  <si>
    <t>Prime Supply</t>
  </si>
  <si>
    <r>
      <rPr>
        <sz val="11"/>
        <color theme="1"/>
        <rFont val="Calibri"/>
      </rPr>
      <t xml:space="preserve">Find the total quantity of </t>
    </r>
    <r>
      <rPr>
        <b/>
        <sz val="11"/>
        <color theme="1"/>
        <rFont val="Calibri"/>
      </rPr>
      <t>Furniture</t>
    </r>
    <r>
      <rPr>
        <sz val="11"/>
        <color theme="1"/>
        <rFont val="Calibri"/>
      </rPr>
      <t xml:space="preserve"> products ordered.</t>
    </r>
  </si>
  <si>
    <t>East</t>
  </si>
  <si>
    <t>West</t>
  </si>
  <si>
    <t>Apparel</t>
  </si>
  <si>
    <t>Neo Traders</t>
  </si>
  <si>
    <r>
      <rPr>
        <sz val="11"/>
        <color theme="1"/>
        <rFont val="Calibri"/>
      </rPr>
      <t xml:space="preserve">Calculate the total quantity of products supplied by </t>
    </r>
    <r>
      <rPr>
        <b/>
        <sz val="11"/>
        <color theme="1"/>
        <rFont val="Calibri"/>
      </rPr>
      <t>Delta Corp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</si>
  <si>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What is the total quantity of </t>
    </r>
    <r>
      <rPr>
        <b/>
        <sz val="11"/>
        <color theme="1"/>
        <rFont val="Calibri"/>
      </rPr>
      <t>Apparel</t>
    </r>
    <r>
      <rPr>
        <sz val="11"/>
        <color theme="1"/>
        <rFont val="Calibri"/>
      </rPr>
      <t xml:space="preserve"> ordered across all regions?</t>
    </r>
  </si>
  <si>
    <r>
      <rPr>
        <sz val="11"/>
        <color theme="1"/>
        <rFont val="Calibri"/>
      </rPr>
      <t xml:space="preserve">Calculate the total number of products ordered in the </t>
    </r>
    <r>
      <rPr>
        <b/>
        <sz val="11"/>
        <color theme="1"/>
        <rFont val="Calibri"/>
      </rPr>
      <t>East</t>
    </r>
    <r>
      <rPr>
        <sz val="11"/>
        <color theme="1"/>
        <rFont val="Calibri"/>
      </rPr>
      <t xml:space="preserve"> region.</t>
    </r>
  </si>
  <si>
    <r>
      <rPr>
        <sz val="11"/>
        <color theme="1"/>
        <rFont val="Calibri"/>
      </rPr>
      <t xml:space="preserve">Find the total quantity of </t>
    </r>
    <r>
      <rPr>
        <b/>
        <sz val="11"/>
        <color theme="1"/>
        <rFont val="Calibri"/>
      </rPr>
      <t>Furniture</t>
    </r>
    <r>
      <rPr>
        <sz val="11"/>
        <color theme="1"/>
        <rFont val="Calibri"/>
      </rPr>
      <t xml:space="preserve"> supplied by </t>
    </r>
    <r>
      <rPr>
        <b/>
        <sz val="11"/>
        <color theme="1"/>
        <rFont val="Calibri"/>
      </rPr>
      <t>Prime Supply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</si>
  <si>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What is the total quantity ordered from the </t>
    </r>
    <r>
      <rPr>
        <b/>
        <sz val="11"/>
        <color theme="1"/>
        <rFont val="Calibri"/>
      </rPr>
      <t>South</t>
    </r>
    <r>
      <rPr>
        <sz val="11"/>
        <color theme="1"/>
        <rFont val="Calibri"/>
      </rPr>
      <t xml:space="preserve"> region by </t>
    </r>
    <r>
      <rPr>
        <b/>
        <sz val="11"/>
        <color theme="1"/>
        <rFont val="Calibri"/>
      </rPr>
      <t>Neo Traders</t>
    </r>
    <r>
      <rPr>
        <sz val="11"/>
        <color theme="1"/>
        <rFont val="Calibri"/>
      </rPr>
      <t>?</t>
    </r>
  </si>
  <si>
    <r>
      <rPr>
        <sz val="11"/>
        <color theme="1"/>
        <rFont val="Calibri"/>
      </rPr>
      <t xml:space="preserve">Find the quantity of </t>
    </r>
    <r>
      <rPr>
        <b/>
        <sz val="11"/>
        <color theme="1"/>
        <rFont val="Calibri"/>
      </rPr>
      <t>Electronics</t>
    </r>
    <r>
      <rPr>
        <sz val="11"/>
        <color theme="1"/>
        <rFont val="Calibri"/>
      </rPr>
      <t xml:space="preserve"> ordered in the </t>
    </r>
    <r>
      <rPr>
        <b/>
        <sz val="11"/>
        <color theme="1"/>
        <rFont val="Calibri"/>
      </rPr>
      <t>West</t>
    </r>
    <r>
      <rPr>
        <sz val="11"/>
        <color theme="1"/>
        <rFont val="Calibri"/>
      </rPr>
      <t xml:space="preserve"> region.</t>
    </r>
  </si>
  <si>
    <r>
      <rPr>
        <sz val="11"/>
        <color theme="1"/>
        <rFont val="Calibri"/>
      </rPr>
      <t xml:space="preserve">Calculate the total quantity of all products supplied by </t>
    </r>
    <r>
      <rPr>
        <b/>
        <sz val="11"/>
        <color theme="1"/>
        <rFont val="Calibri"/>
      </rPr>
      <t>Neo Traders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</si>
  <si>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How many units of </t>
    </r>
    <r>
      <rPr>
        <b/>
        <sz val="11"/>
        <color theme="1"/>
        <rFont val="Calibri"/>
      </rPr>
      <t>Electronics</t>
    </r>
    <r>
      <rPr>
        <sz val="11"/>
        <color theme="1"/>
        <rFont val="Calibri"/>
      </rPr>
      <t xml:space="preserve"> were supplied overall?</t>
    </r>
  </si>
  <si>
    <r>
      <rPr>
        <sz val="11"/>
        <color theme="1"/>
        <rFont val="Calibri"/>
      </rPr>
      <t xml:space="preserve">Sum the quantity of </t>
    </r>
    <r>
      <rPr>
        <b/>
        <sz val="11"/>
        <color theme="1"/>
        <rFont val="Calibri"/>
      </rPr>
      <t>Furniture</t>
    </r>
    <r>
      <rPr>
        <sz val="11"/>
        <color theme="1"/>
        <rFont val="Calibri"/>
      </rPr>
      <t xml:space="preserve"> products ordered in the </t>
    </r>
    <r>
      <rPr>
        <b/>
        <sz val="11"/>
        <color theme="1"/>
        <rFont val="Calibri"/>
      </rPr>
      <t>South</t>
    </r>
    <r>
      <rPr>
        <sz val="11"/>
        <color theme="1"/>
        <rFont val="Calibri"/>
      </rPr>
      <t xml:space="preserve"> region.</t>
    </r>
  </si>
  <si>
    <r>
      <rPr>
        <sz val="11"/>
        <color theme="1"/>
        <rFont val="Calibri"/>
      </rPr>
      <t xml:space="preserve">What is the quantity of </t>
    </r>
    <r>
      <rPr>
        <b/>
        <sz val="11"/>
        <color theme="1"/>
        <rFont val="Calibri"/>
      </rPr>
      <t>Apparel</t>
    </r>
    <r>
      <rPr>
        <sz val="11"/>
        <color theme="1"/>
        <rFont val="Calibri"/>
      </rPr>
      <t xml:space="preserve"> ordered in each region?</t>
    </r>
  </si>
  <si>
    <r>
      <rPr>
        <sz val="11"/>
        <color theme="1"/>
        <rFont val="Calibri"/>
      </rPr>
      <t xml:space="preserve">Find the total quantity of all orders where </t>
    </r>
    <r>
      <rPr>
        <b/>
        <sz val="11"/>
        <color theme="1"/>
        <rFont val="Calibri"/>
      </rPr>
      <t>Cost per Unit is more than ₹1000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</si>
  <si>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Find the total quantity of </t>
    </r>
    <r>
      <rPr>
        <b/>
        <sz val="11"/>
        <color theme="1"/>
        <rFont val="Calibri"/>
      </rPr>
      <t>Electronics</t>
    </r>
    <r>
      <rPr>
        <sz val="11"/>
        <color theme="1"/>
        <rFont val="Calibri"/>
      </rPr>
      <t xml:space="preserve"> supplied by </t>
    </r>
    <r>
      <rPr>
        <b/>
        <sz val="11"/>
        <color theme="1"/>
        <rFont val="Calibri"/>
      </rPr>
      <t>Delta Corp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</si>
  <si>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What is the </t>
    </r>
    <r>
      <rPr>
        <b/>
        <sz val="11"/>
        <color theme="1"/>
        <rFont val="Calibri"/>
      </rPr>
      <t>total quantity</t>
    </r>
    <r>
      <rPr>
        <sz val="11"/>
        <color theme="1"/>
        <rFont val="Calibri"/>
      </rPr>
      <t xml:space="preserve"> ordered across all regions?</t>
    </r>
  </si>
  <si>
    <t>Inventory Stock Summary – June 2025</t>
  </si>
  <si>
    <t>Item ID</t>
  </si>
  <si>
    <t>Category</t>
  </si>
  <si>
    <t>Location</t>
  </si>
  <si>
    <t>Stock Qty</t>
  </si>
  <si>
    <t>Unit Cost</t>
  </si>
  <si>
    <t>What is the total stock quantity of "Electronics" items located in "Warehouse2"?</t>
  </si>
  <si>
    <t>INV001</t>
  </si>
  <si>
    <t>Warehouse1</t>
  </si>
  <si>
    <t>PowerTech</t>
  </si>
  <si>
    <t>INV002</t>
  </si>
  <si>
    <t>Warehouse2</t>
  </si>
  <si>
    <t>Calculate the total stock quantity supplied by "PowerTech" from "Warehouse1".</t>
  </si>
  <si>
    <t>INV003</t>
  </si>
  <si>
    <t>Stationery</t>
  </si>
  <si>
    <t>OfficeMart</t>
  </si>
  <si>
    <t>INV004</t>
  </si>
  <si>
    <t>Warehouse3</t>
  </si>
  <si>
    <t>Find the total stock quantity of items in "Warehouse2" that belong to the "Furniture" category.</t>
  </si>
  <si>
    <t>INV005</t>
  </si>
  <si>
    <t>INV006</t>
  </si>
  <si>
    <t>What is the total stock quantity of items supplied by "OfficeMart" and located in "Warehouse2"?</t>
  </si>
  <si>
    <t>INV007</t>
  </si>
  <si>
    <t>Find the total quantity of "Stationery" items with a unit cost less than 100.</t>
  </si>
  <si>
    <r>
      <rPr>
        <sz val="11"/>
        <color theme="1"/>
        <rFont val="Calibri"/>
      </rPr>
      <t xml:space="preserve">What is the total </t>
    </r>
    <r>
      <rPr>
        <b/>
        <sz val="11"/>
        <color theme="1"/>
        <rFont val="Calibri"/>
      </rPr>
      <t>stock quantity of Electronics</t>
    </r>
    <r>
      <rPr>
        <sz val="11"/>
        <color theme="1"/>
        <rFont val="Calibri"/>
      </rPr>
      <t xml:space="preserve"> items?</t>
    </r>
  </si>
  <si>
    <r>
      <rPr>
        <sz val="11"/>
        <color theme="1"/>
        <rFont val="Calibri"/>
      </rPr>
      <t xml:space="preserve">Find the </t>
    </r>
    <r>
      <rPr>
        <b/>
        <sz val="11"/>
        <color theme="1"/>
        <rFont val="Calibri"/>
      </rPr>
      <t>total stock quantity in Warehouse1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</si>
  <si>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Calculate the total quantity of items supplied by </t>
    </r>
    <r>
      <rPr>
        <b/>
        <sz val="11"/>
        <color theme="1"/>
        <rFont val="Calibri"/>
      </rPr>
      <t>OfficeMart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</si>
  <si>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What is the total quantity of </t>
    </r>
    <r>
      <rPr>
        <b/>
        <sz val="11"/>
        <color theme="1"/>
        <rFont val="Calibri"/>
      </rPr>
      <t>Furniture</t>
    </r>
    <r>
      <rPr>
        <sz val="11"/>
        <color theme="1"/>
        <rFont val="Calibri"/>
      </rPr>
      <t xml:space="preserve"> items?</t>
    </r>
  </si>
  <si>
    <r>
      <rPr>
        <b/>
        <sz val="16"/>
        <color rgb="FF00B050"/>
        <rFont val="Calibri"/>
      </rPr>
      <t>📊</t>
    </r>
    <r>
      <rPr>
        <b/>
        <sz val="16"/>
        <color theme="1"/>
        <rFont val="Calibri"/>
      </rPr>
      <t xml:space="preserve"> Dataset: Supply Chain Order Report</t>
    </r>
  </si>
  <si>
    <t>What is the total quantity of Electronics ordered from the East region?</t>
  </si>
  <si>
    <t>Find the total quantity of Apparel supplied by Neo Traders.</t>
  </si>
  <si>
    <t>Calculate the total quantity of Furniture orders from the South region.</t>
  </si>
  <si>
    <t>What is the total quantity of products with a Cost per Unit greater than ₹1000 and supplied by Delta Corp?</t>
  </si>
  <si>
    <t>Find the total quantity of Electronics ordered from all regions except West.</t>
  </si>
  <si>
    <t>What is the total quantity of orders from the North region for suppliers other than Prime Supply?</t>
  </si>
  <si>
    <t>Calculate the total quantity of all products in the East region that cost more than ₹1000 per unit.</t>
  </si>
  <si>
    <t>Find the total quantity of Furniture supplied by Prime Supply in West and South regions.</t>
  </si>
  <si>
    <t>What is the total quantity of Apparel with a cost per unit less than ₹500?</t>
  </si>
  <si>
    <t>Find the quantity of Electronics products supplied by Delta Corp from the North and East regions.</t>
  </si>
  <si>
    <r>
      <rPr>
        <b/>
        <sz val="18"/>
        <color rgb="FFFFC000"/>
        <rFont val="Calibri"/>
      </rPr>
      <t>📋</t>
    </r>
    <r>
      <rPr>
        <b/>
        <sz val="18"/>
        <color theme="1"/>
        <rFont val="Calibri"/>
      </rPr>
      <t xml:space="preserve"> Procurement Requests</t>
    </r>
  </si>
  <si>
    <r>
      <rPr>
        <sz val="11"/>
        <color theme="1"/>
        <rFont val="Calibri"/>
      </rPr>
      <t xml:space="preserve">A </t>
    </r>
    <r>
      <rPr>
        <b/>
        <sz val="11"/>
        <color theme="1"/>
        <rFont val="Calibri"/>
      </rPr>
      <t>Procurement Request</t>
    </r>
    <r>
      <rPr>
        <sz val="11"/>
        <color theme="1"/>
        <rFont val="Calibri"/>
      </rPr>
      <t xml:space="preserve"> is a formal request made by a department or employee within an organization to </t>
    </r>
    <r>
      <rPr>
        <b/>
        <sz val="11"/>
        <color theme="1"/>
        <rFont val="Calibri"/>
      </rPr>
      <t>purchase goods or services</t>
    </r>
    <r>
      <rPr>
        <sz val="11"/>
        <color theme="1"/>
        <rFont val="Calibri"/>
      </rPr>
      <t>.</t>
    </r>
  </si>
  <si>
    <t>Request ID</t>
  </si>
  <si>
    <t>Department</t>
  </si>
  <si>
    <t>Item Category</t>
  </si>
  <si>
    <t>Status</t>
  </si>
  <si>
    <r>
      <rPr>
        <b/>
        <sz val="13"/>
        <color rgb="FF00B050"/>
        <rFont val="Calibri"/>
      </rPr>
      <t>✅</t>
    </r>
    <r>
      <rPr>
        <b/>
        <sz val="13"/>
        <color theme="1"/>
        <rFont val="Calibri"/>
      </rPr>
      <t xml:space="preserve"> COUNTIF:</t>
    </r>
  </si>
  <si>
    <t>PR001</t>
  </si>
  <si>
    <t>IT</t>
  </si>
  <si>
    <t>Approved</t>
  </si>
  <si>
    <t>TechMart</t>
  </si>
  <si>
    <t>1. How many procurement requests are in "Approved" status?</t>
  </si>
  <si>
    <t>PR002</t>
  </si>
  <si>
    <t>HR</t>
  </si>
  <si>
    <t>Pending</t>
  </si>
  <si>
    <t>OfficeNeeds</t>
  </si>
  <si>
    <r>
      <rPr>
        <sz val="11"/>
        <color theme="1"/>
        <rFont val="Calibri"/>
      </rPr>
      <t xml:space="preserve">👉 </t>
    </r>
    <r>
      <rPr>
        <i/>
        <sz val="11"/>
        <color theme="1"/>
        <rFont val="Calibri"/>
      </rPr>
      <t>(Count how many times "Approved" appears in the Status column)</t>
    </r>
  </si>
  <si>
    <t>PR003</t>
  </si>
  <si>
    <t>Finance</t>
  </si>
  <si>
    <t>2. How many requests were submitted by the "HR" department?</t>
  </si>
  <si>
    <t>PR004</t>
  </si>
  <si>
    <t>Rejected</t>
  </si>
  <si>
    <t>3. How many requests were made for the item category "Electronics"?</t>
  </si>
  <si>
    <t>PR005</t>
  </si>
  <si>
    <t>PR006</t>
  </si>
  <si>
    <t>Admin</t>
  </si>
  <si>
    <r>
      <rPr>
        <b/>
        <sz val="13"/>
        <color rgb="FF00B050"/>
        <rFont val="Calibri"/>
      </rPr>
      <t>✅</t>
    </r>
    <r>
      <rPr>
        <b/>
        <sz val="13"/>
        <color theme="1"/>
        <rFont val="Calibri"/>
      </rPr>
      <t xml:space="preserve"> COUNTIFS:</t>
    </r>
  </si>
  <si>
    <t>PR007</t>
  </si>
  <si>
    <t>FurniDepot</t>
  </si>
  <si>
    <t>4. How many approved requests came from the "IT" department?</t>
  </si>
  <si>
    <t>PR008</t>
  </si>
  <si>
    <r>
      <rPr>
        <sz val="11"/>
        <color theme="1"/>
        <rFont val="Calibri"/>
      </rPr>
      <t xml:space="preserve">👉 </t>
    </r>
    <r>
      <rPr>
        <i/>
        <sz val="11"/>
        <color theme="1"/>
        <rFont val="Calibri"/>
      </rPr>
      <t xml:space="preserve">(Count where Department is IT </t>
    </r>
    <r>
      <rPr>
        <b/>
        <i/>
        <sz val="11"/>
        <color theme="1"/>
        <rFont val="Calibri"/>
      </rPr>
      <t>and</t>
    </r>
    <r>
      <rPr>
        <i/>
        <sz val="11"/>
        <color theme="1"/>
        <rFont val="Calibri"/>
      </rPr>
      <t xml:space="preserve"> Status is Approved)</t>
    </r>
  </si>
  <si>
    <t>PR009</t>
  </si>
  <si>
    <t>5. How many requests for "Stationery" items were supplied by "OfficeNeeds"?</t>
  </si>
  <si>
    <t>PR010</t>
  </si>
  <si>
    <t>Fleet Operations Log – June 2025</t>
  </si>
  <si>
    <r>
      <rPr>
        <b/>
        <sz val="11"/>
        <color theme="1"/>
        <rFont val="Calibri"/>
      </rPr>
      <t>Fleet Management</t>
    </r>
    <r>
      <rPr>
        <sz val="11"/>
        <color theme="1"/>
        <rFont val="Calibri"/>
      </rPr>
      <t xml:space="preserve"> is the process of </t>
    </r>
    <r>
      <rPr>
        <b/>
        <sz val="11"/>
        <color theme="1"/>
        <rFont val="Calibri"/>
      </rPr>
      <t>organizing and coordinating vehicles</t>
    </r>
    <r>
      <rPr>
        <sz val="11"/>
        <color theme="1"/>
        <rFont val="Calibri"/>
      </rPr>
      <t xml:space="preserve"> used by a business or organization.</t>
    </r>
  </si>
  <si>
    <t>Vehicle ID</t>
  </si>
  <si>
    <t>Type</t>
  </si>
  <si>
    <t>Fuel Type</t>
  </si>
  <si>
    <t>Service Due</t>
  </si>
  <si>
    <t>Driver</t>
  </si>
  <si>
    <r>
      <rPr>
        <b/>
        <sz val="13"/>
        <color rgb="FF00B050"/>
        <rFont val="Calibri"/>
      </rPr>
      <t>✅</t>
    </r>
    <r>
      <rPr>
        <b/>
        <sz val="13"/>
        <color theme="1"/>
        <rFont val="Calibri"/>
      </rPr>
      <t xml:space="preserve"> COUNTIF Questions (Single Condition):</t>
    </r>
  </si>
  <si>
    <r>
      <rPr>
        <b/>
        <sz val="13"/>
        <color rgb="FF00B050"/>
        <rFont val="Calibri"/>
      </rPr>
      <t>✅</t>
    </r>
    <r>
      <rPr>
        <b/>
        <sz val="13"/>
        <color theme="1"/>
        <rFont val="Calibri"/>
      </rPr>
      <t xml:space="preserve"> COUNTIFS Questions (Multiple Conditions):</t>
    </r>
  </si>
  <si>
    <t>FL001</t>
  </si>
  <si>
    <t>Truck</t>
  </si>
  <si>
    <t>Depot A</t>
  </si>
  <si>
    <t>Active</t>
  </si>
  <si>
    <t>Diesel</t>
  </si>
  <si>
    <t>Yes</t>
  </si>
  <si>
    <t>Ramesh</t>
  </si>
  <si>
    <t>FL002</t>
  </si>
  <si>
    <t>Van</t>
  </si>
  <si>
    <t>Depot B</t>
  </si>
  <si>
    <t>In Repair</t>
  </si>
  <si>
    <t>Petrol</t>
  </si>
  <si>
    <t>No</t>
  </si>
  <si>
    <t>Suresh</t>
  </si>
  <si>
    <t>1. How many vehicles are currently marked as "Active"?</t>
  </si>
  <si>
    <t>9. How many "Active" trucks are located in "Depot A"?</t>
  </si>
  <si>
    <t>FL003</t>
  </si>
  <si>
    <t>Car</t>
  </si>
  <si>
    <t>Anita</t>
  </si>
  <si>
    <t>FL004</t>
  </si>
  <si>
    <t>Depot C</t>
  </si>
  <si>
    <t>2. How many vehicles are located in "Depot A"?</t>
  </si>
  <si>
    <t>10. Count how many vehicles of type "Car" are in "Depot C" and marked as "In Repair".</t>
  </si>
  <si>
    <t>FL005</t>
  </si>
  <si>
    <t>Retired</t>
  </si>
  <si>
    <t>CNG</t>
  </si>
  <si>
    <t>Jaya</t>
  </si>
  <si>
    <t>FL006</t>
  </si>
  <si>
    <t>3. Count how many vehicles are of type "Truck".</t>
  </si>
  <si>
    <t>11. How many vehicles driven by "Ramesh" are due for service?</t>
  </si>
  <si>
    <t>FL007</t>
  </si>
  <si>
    <t>FL008</t>
  </si>
  <si>
    <t>4. How many vehicles are due for service ("Yes")?</t>
  </si>
  <si>
    <t>12. How many "Diesel" vehicles are located in "Depot B"?</t>
  </si>
  <si>
    <t>FL009</t>
  </si>
  <si>
    <t>FL010</t>
  </si>
  <si>
    <t>5. Count how many vehicles use "Diesel" as fuel.</t>
  </si>
  <si>
    <t>13. How many "Petrol" vehicles are "Active"?</t>
  </si>
  <si>
    <t>6. How many drivers are assigned to "Ramesh"?</t>
  </si>
  <si>
    <t>14. How many vehicles in "Depot A" are not due for service?</t>
  </si>
  <si>
    <t>7. How many vehicles are in the "Retired" status?</t>
  </si>
  <si>
    <t>15. Count how many "Vans" are in "Depot B" and have the status "Active".</t>
  </si>
  <si>
    <t>8. Count how many vehicles are of type "Van".</t>
  </si>
  <si>
    <t>&gt;</t>
  </si>
  <si>
    <t>&gt;1000</t>
  </si>
  <si>
    <t>cost per unit</t>
  </si>
  <si>
    <t>&lt;100</t>
  </si>
  <si>
    <t>Neo traders</t>
  </si>
  <si>
    <t>&lt;500</t>
  </si>
  <si>
    <t>&lt;&gt;west</t>
  </si>
  <si>
    <t>&lt;&gt;Prime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</si>
</sst>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\-#,##0.00"/>
    <numFmt numFmtId="165" formatCode="&quot;₹&quot;\ #,##0.0;[Red]&quot;₹&quot;\ \-#,##0.0"/>
  </numFmts>
  <fonts count="28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4"/>
      <color theme="1"/>
      <name val="Calibri"/>
    </font>
    <font>
      <b/>
      <sz val="20"/>
      <color theme="1"/>
      <name val="Calibri"/>
    </font>
    <font>
      <b/>
      <sz val="16"/>
      <color theme="1"/>
      <name val="Calibri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u/>
      <sz val="16"/>
      <color theme="1"/>
      <name val="Calibri"/>
    </font>
    <font>
      <b/>
      <sz val="12"/>
      <color theme="1"/>
      <name val="Calibri"/>
    </font>
    <font>
      <b/>
      <sz val="14"/>
      <color rgb="FF000000"/>
      <name val="Calibri"/>
    </font>
    <font>
      <b/>
      <u/>
      <sz val="16"/>
      <color theme="1"/>
      <name val="Calibri"/>
    </font>
    <font>
      <i/>
      <sz val="11"/>
      <color theme="1"/>
      <name val="Calibri"/>
    </font>
    <font>
      <sz val="11"/>
      <color theme="1"/>
      <name val="Calibri"/>
    </font>
    <font>
      <b/>
      <sz val="18"/>
      <color theme="1"/>
      <name val="Calibri"/>
    </font>
    <font>
      <b/>
      <sz val="13"/>
      <color theme="1"/>
      <name val="Calibri"/>
    </font>
    <font>
      <b/>
      <u/>
      <sz val="20"/>
      <color theme="1"/>
      <name val="Calibri"/>
    </font>
    <font>
      <sz val="14"/>
      <color rgb="FF000000"/>
      <name val="Arial"/>
    </font>
    <font>
      <u/>
      <sz val="16"/>
      <color rgb="FF00B0F0"/>
      <name val="Calibri"/>
    </font>
    <font>
      <sz val="11"/>
      <color rgb="FFFF0000"/>
      <name val="Calibri"/>
    </font>
    <font>
      <b/>
      <u/>
      <sz val="16"/>
      <color rgb="FF92D050"/>
      <name val="Calibri"/>
    </font>
    <font>
      <b/>
      <sz val="20"/>
      <color rgb="FFC55A11"/>
      <name val="Calibri"/>
    </font>
    <font>
      <b/>
      <sz val="16"/>
      <color rgb="FF00B050"/>
      <name val="Calibri"/>
    </font>
    <font>
      <b/>
      <sz val="18"/>
      <color rgb="FFFFC000"/>
      <name val="Calibri"/>
    </font>
    <font>
      <b/>
      <sz val="13"/>
      <color rgb="FF00B050"/>
      <name val="Calibri"/>
    </font>
    <font>
      <b/>
      <i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 readingOrder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/>
    </xf>
    <xf numFmtId="0" fontId="6" fillId="2" borderId="13" xfId="0" applyFont="1" applyFill="1" applyBorder="1"/>
    <xf numFmtId="49" fontId="6" fillId="2" borderId="13" xfId="0" applyNumberFormat="1" applyFont="1" applyFill="1" applyBorder="1"/>
    <xf numFmtId="0" fontId="7" fillId="2" borderId="13" xfId="0" applyFont="1" applyFill="1" applyBorder="1"/>
    <xf numFmtId="49" fontId="7" fillId="2" borderId="13" xfId="0" applyNumberFormat="1" applyFont="1" applyFill="1" applyBorder="1"/>
    <xf numFmtId="0" fontId="8" fillId="2" borderId="13" xfId="0" applyFont="1" applyFill="1" applyBorder="1"/>
    <xf numFmtId="0" fontId="9" fillId="2" borderId="13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164" fontId="1" fillId="0" borderId="13" xfId="0" applyNumberFormat="1" applyFont="1" applyBorder="1" applyAlignment="1">
      <alignment vertical="center" wrapText="1"/>
    </xf>
    <xf numFmtId="164" fontId="1" fillId="0" borderId="13" xfId="0" applyNumberFormat="1" applyFont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165" fontId="1" fillId="3" borderId="13" xfId="0" applyNumberFormat="1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2" fontId="7" fillId="2" borderId="13" xfId="0" applyNumberFormat="1" applyFont="1" applyFill="1" applyBorder="1"/>
    <xf numFmtId="0" fontId="12" fillId="2" borderId="13" xfId="0" applyFont="1" applyFill="1" applyBorder="1" applyAlignment="1">
      <alignment horizontal="left" vertical="top" wrapText="1"/>
    </xf>
    <xf numFmtId="0" fontId="13" fillId="0" borderId="0" xfId="0" applyFont="1" applyAlignment="1">
      <alignment vertical="center"/>
    </xf>
    <xf numFmtId="0" fontId="14" fillId="0" borderId="1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4" borderId="3" xfId="0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8" fillId="2" borderId="14" xfId="0" applyFont="1" applyFill="1" applyBorder="1" applyAlignment="1">
      <alignment horizontal="right"/>
    </xf>
    <xf numFmtId="0" fontId="1" fillId="0" borderId="14" xfId="0" applyFont="1" applyBorder="1" applyAlignment="1">
      <alignment vertical="center"/>
    </xf>
    <xf numFmtId="0" fontId="12" fillId="2" borderId="14" xfId="0" applyFont="1" applyFill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4" fontId="1" fillId="3" borderId="1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2</xdr:row>
      <xdr:rowOff>66675</xdr:rowOff>
    </xdr:from>
    <xdr:ext cx="8296275" cy="2943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02625" y="2313150"/>
          <a:ext cx="8286750" cy="29337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4800"/>
            <a:buFont typeface="Calibri"/>
            <a:buNone/>
          </a:pPr>
          <a:r>
            <a:rPr lang="en-US" sz="4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CHAPTER-3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6000"/>
            <a:buFont typeface="Calibri"/>
            <a:buNone/>
          </a:pPr>
          <a:r>
            <a:rPr lang="en-US" sz="6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FORMULAS AND FUNCTIONS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85725</xdr:rowOff>
    </xdr:from>
    <xdr:ext cx="4810125" cy="3457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945700" y="2055975"/>
          <a:ext cx="4800600" cy="3448050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SUM()                                                                                                                       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Adds all the numbers in a range.              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=SUM(1, 2, 3, 4)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10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AVERAGE()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Calculates the average of numbers in a range.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=AVERAGE(10, 20, 30, 40)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25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ROUND()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Rounds a number to a specified number of digits.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=ROUND(3.14159, 2)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3.14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152400</xdr:colOff>
      <xdr:row>0</xdr:row>
      <xdr:rowOff>85725</xdr:rowOff>
    </xdr:from>
    <xdr:ext cx="4924425" cy="34385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888550" y="2065500"/>
          <a:ext cx="4914900" cy="3429000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MAX</a:t>
          </a:r>
          <a:r>
            <a:rPr lang="en-US" sz="16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Returns the largest value in a range.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=MAX(5, 10, 15, 20)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20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MIN()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Returns the smallest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value in a range.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=MIN(5, 10, 15, 20)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5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57150</xdr:rowOff>
    </xdr:from>
    <xdr:ext cx="5124450" cy="32004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2788538" y="2184563"/>
          <a:ext cx="5114925" cy="3190875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COUNT()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Counts the number of numeric values in a range.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=COUNT(B2:B10)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2.COUNTA()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Counts the number of non-empty cells in a range (includes both text and numbers).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=COUNTA(A1:A10)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3.COUNTBLANK()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Counts the number of empty cells(Blank) in a range (includes both text and numbers).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=COUNTBLANK(A1:A10)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485775</xdr:colOff>
      <xdr:row>0</xdr:row>
      <xdr:rowOff>66675</xdr:rowOff>
    </xdr:from>
    <xdr:ext cx="4886325" cy="3162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2907600" y="2203613"/>
          <a:ext cx="4876800" cy="3152775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6.ABS()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Returns the absolute (positive) value of a number.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=ABS(-28750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1</xdr:row>
      <xdr:rowOff>28575</xdr:rowOff>
    </xdr:from>
    <xdr:ext cx="5343525" cy="32766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2679000" y="2146463"/>
          <a:ext cx="5334000" cy="3267075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SUMIF()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Adds the numbers in a range that meet a single condition.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Calibri"/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Syntax:</a:t>
          </a:r>
          <a:r>
            <a:rPr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=SUMIF(range, criteria, [sum_range])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Range: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group of cells that you want to apply the condition (criteria) to.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Criteria: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condition used to determine which cells to include in the sum.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Sum Range </a:t>
          </a:r>
          <a:r>
            <a:rPr lang="en-US" sz="1400" b="1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(optional but commonly used)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actual cells whose values you want to add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the corresponding cells in the Range match the Criteria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=SUMIF(A1:A5, "&gt;10")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Adds all values in A1:A5 that are greater than 10.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76200</xdr:rowOff>
    </xdr:from>
    <xdr:ext cx="5362575" cy="32766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2669475" y="2146463"/>
          <a:ext cx="5353050" cy="3267075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SUMIFS()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Adds numbers in a range that meet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multiple conditions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Calibri"/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Syntax:</a:t>
          </a:r>
          <a:r>
            <a:rPr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=SUMIFS(sum_range, criteria_range1, criteria1, [criteria_range2, criteria2], ...)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Sum Range: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actual cells to add.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Criteria Range1: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first range to evaluate.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Criteria1: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condition for criteria_range1.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(You can add more criteria ranges and conditions as needed.)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=SUMIFS(B2:B6, A2:A6, "Fruits", C2:C6, "&gt;10")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Adds values in B2:B6 where A2:A6 equals "Fruits"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C2:C6 is greater than 10.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447675</xdr:colOff>
      <xdr:row>3</xdr:row>
      <xdr:rowOff>0</xdr:rowOff>
    </xdr:from>
    <xdr:ext cx="5114925" cy="29432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/>
      </xdr:nvSpPr>
      <xdr:spPr>
        <a:xfrm>
          <a:off x="2793300" y="2313150"/>
          <a:ext cx="5105400" cy="2933700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COUNTIF()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Counts the number of cells in a range that meet a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single condition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Calibri"/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Syntax:</a:t>
          </a:r>
          <a:r>
            <a:rPr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=COUNTIF(range, criteria)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Range: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cells to apply the condition to.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Criteria: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condition to match.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=COUNTIF(A1:A5, "Apple")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Counts how many times "Apple" appears in A1:A5.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1</xdr:row>
      <xdr:rowOff>0</xdr:rowOff>
    </xdr:from>
    <xdr:ext cx="5114925" cy="29432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 txBox="1"/>
      </xdr:nvSpPr>
      <xdr:spPr>
        <a:xfrm>
          <a:off x="2793300" y="2313150"/>
          <a:ext cx="5105400" cy="2933700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COUNTIFS()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Counts the number of cells that meet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multiple conditions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Calibri"/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Syntax:</a:t>
          </a:r>
          <a:r>
            <a:rPr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=COUNTIFS(criteria_range1, criteria1, [criteria_range2, criteria2], 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solidFill>
              <a:srgbClr val="FF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Criteria Range1: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first group of cells to check.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Criteria1: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first condition.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(You can add more ranges and criteria.)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=COUNTIFS(A2:A6, "Fruits", B2:B6, "&gt;10")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Counts how many rows have "Fruits" in A2:A6 and values &gt;10 in B2:B6.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A1000"/>
  <sheetViews>
    <sheetView showGridLines="0"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26" width="9.140625" customWidth="1"/>
  </cols>
  <sheetData>
    <row r="1" spans="1:26" ht="28.5" customHeigh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>
      <c r="A4" s="1"/>
      <c r="B4" s="1"/>
      <c r="C4" s="1"/>
      <c r="D4" s="1"/>
      <c r="E4" s="1"/>
      <c r="F4" s="2"/>
      <c r="G4" s="3" t="s">
        <v>1</v>
      </c>
      <c r="H4" s="4"/>
      <c r="I4" s="4"/>
      <c r="J4" s="4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>
      <c r="A5" s="1"/>
      <c r="B5" s="1"/>
      <c r="C5" s="1"/>
      <c r="D5" s="1"/>
      <c r="E5" s="1"/>
      <c r="F5" s="6"/>
      <c r="G5" s="7" t="s">
        <v>2</v>
      </c>
      <c r="H5" s="8"/>
      <c r="I5" s="8"/>
      <c r="J5" s="8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1"/>
      <c r="B6" s="1"/>
      <c r="C6" s="1"/>
      <c r="D6" s="1"/>
      <c r="E6" s="1"/>
      <c r="F6" s="6"/>
      <c r="G6" s="7" t="s">
        <v>3</v>
      </c>
      <c r="H6" s="8"/>
      <c r="I6" s="8"/>
      <c r="J6" s="8"/>
      <c r="K6" s="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>
      <c r="A7" s="1"/>
      <c r="B7" s="1"/>
      <c r="C7" s="1"/>
      <c r="D7" s="1"/>
      <c r="E7" s="1"/>
      <c r="F7" s="6"/>
      <c r="G7" s="7" t="s">
        <v>4</v>
      </c>
      <c r="H7" s="8"/>
      <c r="I7" s="8"/>
      <c r="J7" s="8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/>
      <c r="E8" s="1"/>
      <c r="F8" s="6"/>
      <c r="G8" s="7" t="s">
        <v>5</v>
      </c>
      <c r="H8" s="8"/>
      <c r="I8" s="8"/>
      <c r="J8" s="8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>
      <c r="A9" s="1"/>
      <c r="B9" s="1"/>
      <c r="C9" s="1"/>
      <c r="D9" s="1"/>
      <c r="E9" s="1"/>
      <c r="F9" s="10"/>
      <c r="G9" s="11"/>
      <c r="H9" s="11"/>
      <c r="I9" s="11"/>
      <c r="J9" s="11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K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sqref="A1:L1"/>
    </sheetView>
  </sheetViews>
  <sheetFormatPr defaultColWidth="14.42578125" defaultRowHeight="15" customHeight="1"/>
  <cols>
    <col min="1" max="7" width="9.140625" customWidth="1"/>
    <col min="8" max="8" width="11.85546875" customWidth="1"/>
    <col min="9" max="26" width="9.140625" customWidth="1"/>
  </cols>
  <sheetData>
    <row r="1" spans="1:26" ht="26.25">
      <c r="A1" s="52" t="s">
        <v>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>
      <c r="A4" s="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>
      <c r="A5" s="1"/>
      <c r="B5" s="8"/>
      <c r="C5" s="1"/>
      <c r="D5" s="13"/>
      <c r="E5" s="14" t="s">
        <v>7</v>
      </c>
      <c r="F5" s="14"/>
      <c r="G5" s="14" t="s">
        <v>8</v>
      </c>
      <c r="H5" s="14"/>
      <c r="I5" s="14" t="s">
        <v>9</v>
      </c>
      <c r="J5" s="14"/>
      <c r="K5" s="14" t="s">
        <v>10</v>
      </c>
      <c r="L5" s="1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>
      <c r="A6" s="1"/>
      <c r="B6" s="8"/>
      <c r="C6" s="1"/>
      <c r="D6" s="8"/>
      <c r="E6" s="8"/>
      <c r="F6" s="8"/>
      <c r="G6" s="8"/>
      <c r="H6" s="8"/>
      <c r="I6" s="8"/>
      <c r="J6" s="8"/>
      <c r="K6" s="8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>
      <c r="A7" s="1"/>
      <c r="B7" s="8"/>
      <c r="C7" s="1"/>
      <c r="D7" s="13"/>
      <c r="E7" s="14" t="s">
        <v>11</v>
      </c>
      <c r="F7" s="14"/>
      <c r="G7" s="14" t="s">
        <v>12</v>
      </c>
      <c r="H7" s="14"/>
      <c r="I7" s="14" t="s">
        <v>13</v>
      </c>
      <c r="J7" s="14"/>
      <c r="K7" s="14" t="s">
        <v>14</v>
      </c>
      <c r="L7" s="1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>
      <c r="A8" s="1"/>
      <c r="B8" s="8"/>
      <c r="C8" s="1"/>
      <c r="D8" s="8"/>
      <c r="E8" s="8"/>
      <c r="F8" s="8"/>
      <c r="G8" s="8"/>
      <c r="H8" s="8"/>
      <c r="I8" s="8"/>
      <c r="J8" s="8"/>
      <c r="K8" s="8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>
      <c r="A9" s="1"/>
      <c r="B9" s="8"/>
      <c r="C9" s="1"/>
      <c r="D9" s="13"/>
      <c r="E9" s="14" t="s">
        <v>15</v>
      </c>
      <c r="F9" s="14"/>
      <c r="G9" s="14" t="s">
        <v>16</v>
      </c>
      <c r="H9" s="14"/>
      <c r="I9" s="14" t="s">
        <v>17</v>
      </c>
      <c r="J9" s="14"/>
      <c r="K9" s="14" t="s">
        <v>18</v>
      </c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>
      <c r="A10" s="1"/>
      <c r="B10" s="8"/>
      <c r="C10" s="1"/>
      <c r="D10" s="8"/>
      <c r="E10" s="8"/>
      <c r="F10" s="8"/>
      <c r="G10" s="8"/>
      <c r="H10" s="8"/>
      <c r="I10" s="8"/>
      <c r="J10" s="8"/>
      <c r="K10" s="8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>
      <c r="A11" s="1"/>
      <c r="B11" s="8"/>
      <c r="C11" s="1"/>
      <c r="D11" s="13"/>
      <c r="E11" s="14" t="s">
        <v>19</v>
      </c>
      <c r="F11" s="14"/>
      <c r="G11" s="14" t="s">
        <v>20</v>
      </c>
      <c r="H11" s="14"/>
      <c r="I11" s="14" t="s">
        <v>21</v>
      </c>
      <c r="J11" s="14"/>
      <c r="K11" s="14" t="s">
        <v>22</v>
      </c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>
      <c r="A12" s="1"/>
      <c r="B12" s="8"/>
      <c r="C12" s="1"/>
      <c r="D12" s="8"/>
      <c r="E12" s="8"/>
      <c r="F12" s="8"/>
      <c r="G12" s="8"/>
      <c r="H12" s="8"/>
      <c r="I12" s="8"/>
      <c r="J12" s="8"/>
      <c r="K12" s="8"/>
      <c r="L12" s="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L1"/>
  </mergeCell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/>
  <cols>
    <col min="1" max="26" width="9.14062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E19" sqref="E19"/>
    </sheetView>
  </sheetViews>
  <sheetFormatPr defaultColWidth="14.42578125" defaultRowHeight="15" customHeight="1"/>
  <cols>
    <col min="1" max="8" width="9.140625" customWidth="1"/>
    <col min="9" max="9" width="10.140625" customWidth="1"/>
    <col min="10" max="10" width="9.140625" customWidth="1"/>
    <col min="11" max="11" width="11" customWidth="1"/>
    <col min="12" max="12" width="15.140625" customWidth="1"/>
    <col min="13" max="26" width="9.140625" customWidth="1"/>
  </cols>
  <sheetData>
    <row r="1" spans="1:26" ht="21">
      <c r="A1" s="53" t="s">
        <v>23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>
      <c r="A3" s="15"/>
      <c r="B3" s="16" t="s">
        <v>24</v>
      </c>
      <c r="C3" s="17" t="s">
        <v>25</v>
      </c>
      <c r="D3" s="18" t="s">
        <v>26</v>
      </c>
      <c r="E3" s="16" t="s">
        <v>27</v>
      </c>
      <c r="F3" s="17" t="s">
        <v>28</v>
      </c>
      <c r="G3" s="17" t="s">
        <v>29</v>
      </c>
      <c r="H3" s="17" t="s">
        <v>30</v>
      </c>
      <c r="I3" s="17" t="s">
        <v>31</v>
      </c>
      <c r="J3" s="17" t="s">
        <v>32</v>
      </c>
      <c r="K3" s="17" t="s">
        <v>33</v>
      </c>
      <c r="L3" s="17" t="s">
        <v>34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5"/>
      <c r="B4" s="19">
        <v>1</v>
      </c>
      <c r="C4" s="19" t="s">
        <v>35</v>
      </c>
      <c r="D4" s="20" t="s">
        <v>36</v>
      </c>
      <c r="E4" s="19">
        <v>56</v>
      </c>
      <c r="F4" s="19">
        <v>87</v>
      </c>
      <c r="G4" s="19">
        <v>35</v>
      </c>
      <c r="H4" s="21">
        <f t="shared" ref="H4:H13" si="0">SUM(E4:G4)</f>
        <v>178</v>
      </c>
      <c r="I4" s="21">
        <f t="shared" ref="I4:I13" si="1">AVERAGE(E4:G4)</f>
        <v>59.333333333333336</v>
      </c>
      <c r="J4" s="21">
        <f t="shared" ref="J4:J13" si="2">ROUND(I4,1)</f>
        <v>59.3</v>
      </c>
      <c r="K4" s="21">
        <f t="shared" ref="K4:K13" si="3">ROUNDUP(I4,2)</f>
        <v>59.339999999999996</v>
      </c>
      <c r="L4" s="15">
        <f t="shared" ref="L4:L13" si="4">ROUNDDOWN(I4,2)</f>
        <v>59.33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>
      <c r="A5" s="15"/>
      <c r="B5" s="19">
        <v>2</v>
      </c>
      <c r="C5" s="19" t="s">
        <v>37</v>
      </c>
      <c r="D5" s="20" t="s">
        <v>38</v>
      </c>
      <c r="E5" s="19">
        <v>98</v>
      </c>
      <c r="F5" s="19">
        <v>98</v>
      </c>
      <c r="G5" s="19">
        <v>68</v>
      </c>
      <c r="H5" s="21">
        <f t="shared" si="0"/>
        <v>264</v>
      </c>
      <c r="I5" s="21">
        <f t="shared" si="1"/>
        <v>88</v>
      </c>
      <c r="J5" s="21">
        <f t="shared" si="2"/>
        <v>88</v>
      </c>
      <c r="K5" s="21">
        <f t="shared" si="3"/>
        <v>88</v>
      </c>
      <c r="L5" s="15">
        <f t="shared" si="4"/>
        <v>88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>
      <c r="A6" s="15"/>
      <c r="B6" s="19">
        <v>3</v>
      </c>
      <c r="C6" s="19" t="s">
        <v>39</v>
      </c>
      <c r="D6" s="20" t="s">
        <v>40</v>
      </c>
      <c r="E6" s="19">
        <v>68</v>
      </c>
      <c r="F6" s="19">
        <v>67</v>
      </c>
      <c r="G6" s="19">
        <v>97</v>
      </c>
      <c r="H6" s="21">
        <f t="shared" si="0"/>
        <v>232</v>
      </c>
      <c r="I6" s="21">
        <f t="shared" si="1"/>
        <v>77.333333333333329</v>
      </c>
      <c r="J6" s="21">
        <f t="shared" si="2"/>
        <v>77.3</v>
      </c>
      <c r="K6" s="21">
        <f t="shared" si="3"/>
        <v>77.34</v>
      </c>
      <c r="L6" s="15">
        <f t="shared" si="4"/>
        <v>77.33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>
      <c r="A7" s="15"/>
      <c r="B7" s="19">
        <v>4</v>
      </c>
      <c r="C7" s="19" t="s">
        <v>41</v>
      </c>
      <c r="D7" s="20" t="s">
        <v>42</v>
      </c>
      <c r="E7" s="19">
        <v>57</v>
      </c>
      <c r="F7" s="19">
        <v>87</v>
      </c>
      <c r="G7" s="19">
        <v>58</v>
      </c>
      <c r="H7" s="21">
        <f t="shared" si="0"/>
        <v>202</v>
      </c>
      <c r="I7" s="21">
        <f t="shared" si="1"/>
        <v>67.333333333333329</v>
      </c>
      <c r="J7" s="21">
        <f t="shared" si="2"/>
        <v>67.3</v>
      </c>
      <c r="K7" s="21">
        <f t="shared" si="3"/>
        <v>67.34</v>
      </c>
      <c r="L7" s="15">
        <f t="shared" si="4"/>
        <v>67.33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>
      <c r="A8" s="15"/>
      <c r="B8" s="19">
        <v>5</v>
      </c>
      <c r="C8" s="19" t="s">
        <v>43</v>
      </c>
      <c r="D8" s="20" t="s">
        <v>44</v>
      </c>
      <c r="E8" s="19">
        <v>54</v>
      </c>
      <c r="F8" s="19">
        <v>47</v>
      </c>
      <c r="G8" s="19">
        <v>87</v>
      </c>
      <c r="H8" s="21">
        <f t="shared" si="0"/>
        <v>188</v>
      </c>
      <c r="I8" s="21">
        <f t="shared" si="1"/>
        <v>62.666666666666664</v>
      </c>
      <c r="J8" s="21">
        <f t="shared" si="2"/>
        <v>62.7</v>
      </c>
      <c r="K8" s="21">
        <f t="shared" si="3"/>
        <v>62.669999999999995</v>
      </c>
      <c r="L8" s="15">
        <f t="shared" si="4"/>
        <v>62.66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>
      <c r="A9" s="15"/>
      <c r="B9" s="19">
        <v>6</v>
      </c>
      <c r="C9" s="19" t="s">
        <v>45</v>
      </c>
      <c r="D9" s="20" t="s">
        <v>46</v>
      </c>
      <c r="E9" s="19">
        <v>24</v>
      </c>
      <c r="F9" s="19">
        <v>52</v>
      </c>
      <c r="G9" s="19">
        <v>45</v>
      </c>
      <c r="H9" s="21">
        <f t="shared" si="0"/>
        <v>121</v>
      </c>
      <c r="I9" s="21">
        <f t="shared" si="1"/>
        <v>40.333333333333336</v>
      </c>
      <c r="J9" s="21">
        <f t="shared" si="2"/>
        <v>40.299999999999997</v>
      </c>
      <c r="K9" s="21">
        <f t="shared" si="3"/>
        <v>40.339999999999996</v>
      </c>
      <c r="L9" s="15">
        <f t="shared" si="4"/>
        <v>40.33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>
      <c r="A10" s="15"/>
      <c r="B10" s="19">
        <v>7</v>
      </c>
      <c r="C10" s="19" t="s">
        <v>47</v>
      </c>
      <c r="D10" s="20" t="s">
        <v>48</v>
      </c>
      <c r="E10" s="19">
        <v>65</v>
      </c>
      <c r="F10" s="19">
        <v>25</v>
      </c>
      <c r="G10" s="19">
        <v>61</v>
      </c>
      <c r="H10" s="21">
        <f t="shared" si="0"/>
        <v>151</v>
      </c>
      <c r="I10" s="21">
        <f t="shared" si="1"/>
        <v>50.333333333333336</v>
      </c>
      <c r="J10" s="21">
        <f t="shared" si="2"/>
        <v>50.3</v>
      </c>
      <c r="K10" s="21">
        <f t="shared" si="3"/>
        <v>50.339999999999996</v>
      </c>
      <c r="L10" s="15">
        <f t="shared" si="4"/>
        <v>50.33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>
      <c r="A11" s="15"/>
      <c r="B11" s="19">
        <v>8</v>
      </c>
      <c r="C11" s="19" t="s">
        <v>49</v>
      </c>
      <c r="D11" s="20" t="s">
        <v>50</v>
      </c>
      <c r="E11" s="19">
        <v>54</v>
      </c>
      <c r="F11" s="19">
        <v>27</v>
      </c>
      <c r="G11" s="19">
        <v>91</v>
      </c>
      <c r="H11" s="21">
        <f t="shared" si="0"/>
        <v>172</v>
      </c>
      <c r="I11" s="21">
        <f t="shared" si="1"/>
        <v>57.333333333333336</v>
      </c>
      <c r="J11" s="21">
        <f t="shared" si="2"/>
        <v>57.3</v>
      </c>
      <c r="K11" s="21">
        <f t="shared" si="3"/>
        <v>57.339999999999996</v>
      </c>
      <c r="L11" s="15">
        <f t="shared" si="4"/>
        <v>57.33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>
      <c r="A12" s="15"/>
      <c r="B12" s="19">
        <v>9</v>
      </c>
      <c r="C12" s="19" t="s">
        <v>51</v>
      </c>
      <c r="D12" s="20" t="s">
        <v>52</v>
      </c>
      <c r="E12" s="19">
        <v>32</v>
      </c>
      <c r="F12" s="19">
        <v>87</v>
      </c>
      <c r="G12" s="19">
        <v>93</v>
      </c>
      <c r="H12" s="21">
        <f t="shared" si="0"/>
        <v>212</v>
      </c>
      <c r="I12" s="21">
        <f t="shared" si="1"/>
        <v>70.666666666666671</v>
      </c>
      <c r="J12" s="21">
        <f t="shared" si="2"/>
        <v>70.7</v>
      </c>
      <c r="K12" s="21">
        <f t="shared" si="3"/>
        <v>70.67</v>
      </c>
      <c r="L12" s="15">
        <f t="shared" si="4"/>
        <v>70.66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>
      <c r="A13" s="15"/>
      <c r="B13" s="19">
        <v>10</v>
      </c>
      <c r="C13" s="19" t="s">
        <v>53</v>
      </c>
      <c r="D13" s="20" t="s">
        <v>54</v>
      </c>
      <c r="E13" s="19">
        <v>45</v>
      </c>
      <c r="F13" s="19">
        <v>98</v>
      </c>
      <c r="G13" s="19">
        <v>92</v>
      </c>
      <c r="H13" s="21">
        <f t="shared" si="0"/>
        <v>235</v>
      </c>
      <c r="I13" s="21">
        <f t="shared" si="1"/>
        <v>78.333333333333329</v>
      </c>
      <c r="J13" s="21">
        <f t="shared" si="2"/>
        <v>78.3</v>
      </c>
      <c r="K13" s="21">
        <f t="shared" si="3"/>
        <v>78.34</v>
      </c>
      <c r="L13" s="15">
        <f t="shared" si="4"/>
        <v>78.33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>
      <c r="A14" s="15"/>
      <c r="B14" s="15"/>
      <c r="C14" s="15"/>
      <c r="D14" s="15"/>
      <c r="E14" s="15"/>
      <c r="F14" s="15"/>
      <c r="G14" s="15"/>
      <c r="H14" s="21"/>
      <c r="I14" s="21"/>
      <c r="J14" s="21"/>
      <c r="K14" s="19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>
      <c r="A15" s="15"/>
      <c r="B15" s="15"/>
      <c r="C15" s="15"/>
      <c r="D15" s="15"/>
      <c r="E15" s="15"/>
      <c r="F15" s="15"/>
      <c r="G15" s="15"/>
      <c r="H15" s="21"/>
      <c r="I15" s="21"/>
      <c r="J15" s="21"/>
      <c r="K15" s="19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>
      <c r="A16" s="15"/>
      <c r="B16" s="56" t="s">
        <v>55</v>
      </c>
      <c r="C16" s="54"/>
      <c r="D16" s="55"/>
      <c r="E16" s="21">
        <f t="shared" ref="E16:G16" si="5">MAX(E4:E13)</f>
        <v>98</v>
      </c>
      <c r="F16" s="21">
        <f t="shared" si="5"/>
        <v>98</v>
      </c>
      <c r="G16" s="21">
        <f t="shared" si="5"/>
        <v>97</v>
      </c>
      <c r="H16" s="21"/>
      <c r="I16" s="21"/>
      <c r="J16" s="21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>
      <c r="A17" s="15"/>
      <c r="B17" s="56" t="s">
        <v>56</v>
      </c>
      <c r="C17" s="54"/>
      <c r="D17" s="55"/>
      <c r="E17" s="21">
        <f t="shared" ref="E17:G17" si="6">MIN(E4:E13)</f>
        <v>24</v>
      </c>
      <c r="F17" s="21">
        <f t="shared" si="6"/>
        <v>25</v>
      </c>
      <c r="G17" s="21">
        <f t="shared" si="6"/>
        <v>35</v>
      </c>
      <c r="H17" s="21"/>
      <c r="I17" s="21"/>
      <c r="J17" s="21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>
      <c r="A18" s="15"/>
      <c r="B18" s="15"/>
      <c r="C18" s="15"/>
      <c r="D18" s="22" t="s">
        <v>57</v>
      </c>
      <c r="E18" s="15">
        <f t="shared" ref="E18:G18" si="7">LARGE(E4:E13,3)</f>
        <v>65</v>
      </c>
      <c r="F18" s="15">
        <f t="shared" si="7"/>
        <v>87</v>
      </c>
      <c r="G18" s="15">
        <f t="shared" si="7"/>
        <v>92</v>
      </c>
      <c r="H18" s="15"/>
      <c r="I18" s="21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>
      <c r="A19" s="15"/>
      <c r="B19" s="15"/>
      <c r="C19" s="15"/>
      <c r="D19" s="22" t="s">
        <v>58</v>
      </c>
      <c r="E19" s="15">
        <f t="shared" ref="E19:G19" si="8">SMALL(E4:E13,2)</f>
        <v>32</v>
      </c>
      <c r="F19" s="15">
        <f t="shared" si="8"/>
        <v>27</v>
      </c>
      <c r="G19" s="15">
        <f t="shared" si="8"/>
        <v>45</v>
      </c>
      <c r="H19" s="15"/>
      <c r="I19" s="21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autoFilter ref="B3:H17" xr:uid="{00000000-0009-0000-0000-000004000000}"/>
  <mergeCells count="3">
    <mergeCell ref="A1:L1"/>
    <mergeCell ref="B16:D16"/>
    <mergeCell ref="B17:D17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activeCell="K21" sqref="K21"/>
    </sheetView>
  </sheetViews>
  <sheetFormatPr defaultColWidth="14.42578125" defaultRowHeight="15" customHeight="1"/>
  <cols>
    <col min="1" max="1" width="9.140625" customWidth="1"/>
    <col min="2" max="2" width="7.28515625" customWidth="1"/>
    <col min="3" max="3" width="13.28515625" customWidth="1"/>
    <col min="4" max="4" width="10" customWidth="1"/>
    <col min="5" max="5" width="5.85546875" customWidth="1"/>
    <col min="6" max="6" width="7.7109375" customWidth="1"/>
    <col min="7" max="7" width="8.28515625" customWidth="1"/>
    <col min="8" max="8" width="11.5703125" customWidth="1"/>
    <col min="9" max="9" width="10.7109375" customWidth="1"/>
    <col min="10" max="10" width="11.140625" customWidth="1"/>
    <col min="11" max="11" width="14.140625" customWidth="1"/>
    <col min="12" max="12" width="10.7109375" customWidth="1"/>
    <col min="13" max="13" width="9.140625" customWidth="1"/>
    <col min="14" max="14" width="10.7109375" customWidth="1"/>
    <col min="15" max="26" width="8.7109375" customWidth="1"/>
  </cols>
  <sheetData>
    <row r="1" spans="1:26" ht="21">
      <c r="A1" s="23"/>
      <c r="B1" s="23"/>
      <c r="C1" s="24" t="s">
        <v>59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23"/>
      <c r="B3" s="25" t="s">
        <v>60</v>
      </c>
      <c r="C3" s="25" t="s">
        <v>61</v>
      </c>
      <c r="D3" s="25" t="s">
        <v>62</v>
      </c>
      <c r="E3" s="25" t="s">
        <v>63</v>
      </c>
      <c r="F3" s="25" t="s">
        <v>64</v>
      </c>
      <c r="G3" s="25" t="s">
        <v>65</v>
      </c>
      <c r="H3" s="25" t="s">
        <v>66</v>
      </c>
      <c r="I3" s="25" t="s">
        <v>67</v>
      </c>
      <c r="J3" s="25" t="s">
        <v>68</v>
      </c>
      <c r="K3" s="25" t="s">
        <v>69</v>
      </c>
      <c r="L3" s="25" t="s">
        <v>70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3"/>
      <c r="B4" s="26" t="s">
        <v>71</v>
      </c>
      <c r="C4" s="26">
        <v>711</v>
      </c>
      <c r="D4" s="26">
        <v>7.07</v>
      </c>
      <c r="E4" s="26">
        <v>273</v>
      </c>
      <c r="F4" s="26">
        <v>1352</v>
      </c>
      <c r="G4" s="26">
        <v>28675</v>
      </c>
      <c r="H4" s="26">
        <v>1.5</v>
      </c>
      <c r="I4" s="27">
        <v>5026.7700000000004</v>
      </c>
      <c r="J4" s="27">
        <v>430.12</v>
      </c>
      <c r="K4" s="27">
        <v>7081.9</v>
      </c>
      <c r="L4" s="27">
        <v>9.9600000000000009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6" t="s">
        <v>72</v>
      </c>
      <c r="C5" s="26">
        <v>316</v>
      </c>
      <c r="D5" s="26">
        <v>7.1</v>
      </c>
      <c r="E5" s="26">
        <v>823</v>
      </c>
      <c r="F5" s="26">
        <v>1940</v>
      </c>
      <c r="G5" s="26">
        <v>47653</v>
      </c>
      <c r="H5" s="26">
        <v>1.5</v>
      </c>
      <c r="I5" s="27">
        <v>2243.6</v>
      </c>
      <c r="J5" s="27">
        <v>714.8</v>
      </c>
      <c r="K5" s="27">
        <v>5721.4</v>
      </c>
      <c r="L5" s="27">
        <v>18.11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6" t="s">
        <v>73</v>
      </c>
      <c r="C6" s="26">
        <v>841</v>
      </c>
      <c r="D6" s="26">
        <v>5.64</v>
      </c>
      <c r="E6" s="26">
        <v>850</v>
      </c>
      <c r="F6" s="26">
        <v>1249</v>
      </c>
      <c r="G6" s="26">
        <v>139686</v>
      </c>
      <c r="H6" s="26">
        <v>2</v>
      </c>
      <c r="I6" s="27">
        <v>4743.24</v>
      </c>
      <c r="J6" s="27">
        <v>2793.72</v>
      </c>
      <c r="K6" s="27">
        <v>9635.9599999999991</v>
      </c>
      <c r="L6" s="27">
        <v>11.46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6" t="s">
        <v>74</v>
      </c>
      <c r="C7" s="26">
        <v>191</v>
      </c>
      <c r="D7" s="26">
        <v>5.86</v>
      </c>
      <c r="E7" s="26">
        <v>375</v>
      </c>
      <c r="F7" s="26">
        <v>1464</v>
      </c>
      <c r="G7" s="26">
        <v>143589</v>
      </c>
      <c r="H7" s="26">
        <v>1.5</v>
      </c>
      <c r="I7" s="27">
        <v>1119.26</v>
      </c>
      <c r="J7" s="27">
        <v>2153.84</v>
      </c>
      <c r="K7" s="27">
        <v>5112.1000000000004</v>
      </c>
      <c r="L7" s="27">
        <v>26.76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6" t="s">
        <v>75</v>
      </c>
      <c r="C8" s="26">
        <v>166</v>
      </c>
      <c r="D8" s="26">
        <v>7</v>
      </c>
      <c r="E8" s="26">
        <v>746</v>
      </c>
      <c r="F8" s="26">
        <v>914</v>
      </c>
      <c r="G8" s="26">
        <v>94341</v>
      </c>
      <c r="H8" s="26">
        <v>1</v>
      </c>
      <c r="I8" s="27">
        <v>1162</v>
      </c>
      <c r="J8" s="27">
        <v>943.41</v>
      </c>
      <c r="K8" s="27">
        <v>3765.41</v>
      </c>
      <c r="L8" s="27">
        <v>22.68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6" t="s">
        <v>76</v>
      </c>
      <c r="C9" s="26">
        <v>797</v>
      </c>
      <c r="D9" s="26">
        <v>4.99</v>
      </c>
      <c r="E9" s="26">
        <v>946</v>
      </c>
      <c r="F9" s="26">
        <v>1269</v>
      </c>
      <c r="G9" s="26">
        <v>134867</v>
      </c>
      <c r="H9" s="26">
        <v>1.5</v>
      </c>
      <c r="I9" s="27">
        <v>3977.03</v>
      </c>
      <c r="J9" s="27">
        <v>2023</v>
      </c>
      <c r="K9" s="27">
        <v>8215.0400000000009</v>
      </c>
      <c r="L9" s="27">
        <v>10.31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6" t="s">
        <v>77</v>
      </c>
      <c r="C10" s="26">
        <v>353</v>
      </c>
      <c r="D10" s="26">
        <v>5.57</v>
      </c>
      <c r="E10" s="26">
        <v>450</v>
      </c>
      <c r="F10" s="26">
        <v>865</v>
      </c>
      <c r="G10" s="26">
        <v>114098</v>
      </c>
      <c r="H10" s="26">
        <v>1</v>
      </c>
      <c r="I10" s="27">
        <v>1966.21</v>
      </c>
      <c r="J10" s="27">
        <v>1140.98</v>
      </c>
      <c r="K10" s="27">
        <v>4422.1899999999996</v>
      </c>
      <c r="L10" s="27">
        <v>12.53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6" t="s">
        <v>78</v>
      </c>
      <c r="C11" s="26">
        <v>911</v>
      </c>
      <c r="D11" s="26">
        <v>6.51</v>
      </c>
      <c r="E11" s="26">
        <v>367</v>
      </c>
      <c r="F11" s="26">
        <v>1446</v>
      </c>
      <c r="G11" s="26">
        <v>61245</v>
      </c>
      <c r="H11" s="26">
        <v>1</v>
      </c>
      <c r="I11" s="27">
        <v>5930.61</v>
      </c>
      <c r="J11" s="27">
        <v>612.45000000000005</v>
      </c>
      <c r="K11" s="27">
        <v>8356.06</v>
      </c>
      <c r="L11" s="27">
        <v>9.17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6" t="s">
        <v>79</v>
      </c>
      <c r="C12" s="26">
        <v>416</v>
      </c>
      <c r="D12" s="26">
        <v>6.61</v>
      </c>
      <c r="E12" s="26">
        <v>673</v>
      </c>
      <c r="F12" s="26">
        <v>1621</v>
      </c>
      <c r="G12" s="26">
        <v>47869</v>
      </c>
      <c r="H12" s="26">
        <v>2</v>
      </c>
      <c r="I12" s="27">
        <v>2749.76</v>
      </c>
      <c r="J12" s="27">
        <v>957.38</v>
      </c>
      <c r="K12" s="27">
        <v>6001.14</v>
      </c>
      <c r="L12" s="27">
        <v>14.43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6" t="s">
        <v>80</v>
      </c>
      <c r="C13" s="26">
        <v>201</v>
      </c>
      <c r="D13" s="26">
        <v>6.55</v>
      </c>
      <c r="E13" s="26">
        <v>588</v>
      </c>
      <c r="F13" s="26">
        <v>1348</v>
      </c>
      <c r="G13" s="26">
        <v>105909</v>
      </c>
      <c r="H13" s="26">
        <v>2</v>
      </c>
      <c r="I13" s="27">
        <v>1316.55</v>
      </c>
      <c r="J13" s="27">
        <v>2118.1799999999998</v>
      </c>
      <c r="K13" s="27">
        <v>5370.73</v>
      </c>
      <c r="L13" s="27">
        <v>26.72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>
        <f>SUM(D4:D13)</f>
        <v>62.9</v>
      </c>
      <c r="E14" s="23">
        <f t="shared" ref="E14:G14" si="0">SUM(E4:E13)</f>
        <v>6091</v>
      </c>
      <c r="F14" s="23">
        <f t="shared" si="0"/>
        <v>13468</v>
      </c>
      <c r="G14" s="23">
        <f t="shared" si="0"/>
        <v>917932</v>
      </c>
      <c r="H14" s="23"/>
      <c r="I14" s="23"/>
      <c r="J14" s="23"/>
      <c r="K14" s="23"/>
      <c r="L14" s="23"/>
      <c r="M14" s="23"/>
      <c r="N14" s="28">
        <f>SUM(K4:K13)</f>
        <v>63681.929999999993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8.75" customHeight="1">
      <c r="A15" s="23">
        <v>1</v>
      </c>
      <c r="B15" s="57" t="s">
        <v>81</v>
      </c>
      <c r="C15" s="54"/>
      <c r="D15" s="54"/>
      <c r="E15" s="54"/>
      <c r="F15" s="54"/>
      <c r="G15" s="54"/>
      <c r="H15" s="54"/>
      <c r="I15" s="54"/>
      <c r="J15" s="55"/>
      <c r="K15" s="66">
        <f>SUM(I4:I13)</f>
        <v>30235.030000000002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>
        <v>2</v>
      </c>
      <c r="B16" s="57" t="s">
        <v>82</v>
      </c>
      <c r="C16" s="54"/>
      <c r="D16" s="54"/>
      <c r="E16" s="54"/>
      <c r="F16" s="54"/>
      <c r="G16" s="54"/>
      <c r="H16" s="54"/>
      <c r="I16" s="54"/>
      <c r="J16" s="55"/>
      <c r="K16" s="66">
        <f>AVERAGE(L4:L13)</f>
        <v>16.213000000000001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>
        <v>3</v>
      </c>
      <c r="B17" s="57" t="s">
        <v>83</v>
      </c>
      <c r="C17" s="54"/>
      <c r="D17" s="54"/>
      <c r="E17" s="54"/>
      <c r="F17" s="54"/>
      <c r="G17" s="54"/>
      <c r="H17" s="54"/>
      <c r="I17" s="54"/>
      <c r="J17" s="55"/>
      <c r="K17" s="30">
        <f>ROUND(N14,1)</f>
        <v>63681.9</v>
      </c>
      <c r="L17" s="28">
        <f>ROUND(SUM(K4:K13),1)</f>
        <v>63681.9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>
        <v>4</v>
      </c>
      <c r="B18" s="57" t="s">
        <v>84</v>
      </c>
      <c r="C18" s="54"/>
      <c r="D18" s="54"/>
      <c r="E18" s="54"/>
      <c r="F18" s="54"/>
      <c r="G18" s="54"/>
      <c r="H18" s="54"/>
      <c r="I18" s="54"/>
      <c r="J18" s="55"/>
      <c r="K18" s="29">
        <f>ROUNDUP(D14,1)</f>
        <v>62.9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23">
        <v>5</v>
      </c>
      <c r="B19" s="57" t="s">
        <v>85</v>
      </c>
      <c r="C19" s="54"/>
      <c r="D19" s="54"/>
      <c r="E19" s="54"/>
      <c r="F19" s="54"/>
      <c r="G19" s="54"/>
      <c r="H19" s="54"/>
      <c r="I19" s="54"/>
      <c r="J19" s="55"/>
      <c r="K19" s="29">
        <f>MIN(C4:C13)</f>
        <v>166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A20" s="23">
        <v>6</v>
      </c>
      <c r="B20" s="57" t="s">
        <v>86</v>
      </c>
      <c r="C20" s="54"/>
      <c r="D20" s="54"/>
      <c r="E20" s="54"/>
      <c r="F20" s="54"/>
      <c r="G20" s="54"/>
      <c r="H20" s="54"/>
      <c r="I20" s="54"/>
      <c r="J20" s="55"/>
      <c r="K20" s="66">
        <f>MAX(I4:I13)</f>
        <v>5930.61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3"/>
      <c r="B21" s="57"/>
      <c r="C21" s="54"/>
      <c r="D21" s="54"/>
      <c r="E21" s="54"/>
      <c r="F21" s="54"/>
      <c r="G21" s="54"/>
      <c r="H21" s="54"/>
      <c r="I21" s="54"/>
      <c r="J21" s="55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3"/>
      <c r="B22" s="57"/>
      <c r="C22" s="54"/>
      <c r="D22" s="54"/>
      <c r="E22" s="54"/>
      <c r="F22" s="54"/>
      <c r="G22" s="54"/>
      <c r="H22" s="54"/>
      <c r="I22" s="54"/>
      <c r="J22" s="55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3"/>
      <c r="B23" s="57"/>
      <c r="C23" s="54"/>
      <c r="D23" s="54"/>
      <c r="E23" s="54"/>
      <c r="F23" s="54"/>
      <c r="G23" s="54"/>
      <c r="H23" s="54"/>
      <c r="I23" s="54"/>
      <c r="J23" s="55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3"/>
      <c r="B24" s="57"/>
      <c r="C24" s="54"/>
      <c r="D24" s="54"/>
      <c r="E24" s="54"/>
      <c r="F24" s="54"/>
      <c r="G24" s="54"/>
      <c r="H24" s="54"/>
      <c r="I24" s="54"/>
      <c r="J24" s="5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10">
    <mergeCell ref="B22:J22"/>
    <mergeCell ref="B23:J23"/>
    <mergeCell ref="B24:J24"/>
    <mergeCell ref="B15:J15"/>
    <mergeCell ref="B16:J16"/>
    <mergeCell ref="B17:J17"/>
    <mergeCell ref="B18:J18"/>
    <mergeCell ref="B19:J19"/>
    <mergeCell ref="B20:J20"/>
    <mergeCell ref="B21:J2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26" width="9.14062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G20" sqref="G20"/>
    </sheetView>
  </sheetViews>
  <sheetFormatPr defaultColWidth="14.42578125" defaultRowHeight="15" customHeight="1"/>
  <cols>
    <col min="1" max="1" width="9.140625" customWidth="1"/>
    <col min="2" max="2" width="12.140625" customWidth="1"/>
    <col min="3" max="7" width="9.140625" customWidth="1"/>
    <col min="8" max="8" width="11.28515625" customWidth="1"/>
    <col min="9" max="10" width="9.140625" customWidth="1"/>
    <col min="11" max="11" width="13.42578125" customWidth="1"/>
    <col min="12" max="12" width="11.28515625" customWidth="1"/>
    <col min="13" max="14" width="10.42578125" customWidth="1"/>
    <col min="15" max="16" width="12.28515625" customWidth="1"/>
    <col min="17" max="26" width="9.140625" customWidth="1"/>
  </cols>
  <sheetData>
    <row r="1" spans="1:26" ht="21">
      <c r="A1" s="53" t="s">
        <v>87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5"/>
      <c r="U1" s="15"/>
      <c r="V1" s="15"/>
      <c r="W1" s="15"/>
      <c r="X1" s="15"/>
      <c r="Y1" s="15"/>
      <c r="Z1" s="15"/>
    </row>
    <row r="2" spans="1:26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>
      <c r="A3" s="15"/>
      <c r="B3" s="16" t="s">
        <v>24</v>
      </c>
      <c r="C3" s="17" t="s">
        <v>25</v>
      </c>
      <c r="D3" s="18" t="s">
        <v>26</v>
      </c>
      <c r="E3" s="16" t="s">
        <v>88</v>
      </c>
      <c r="F3" s="17" t="s">
        <v>89</v>
      </c>
      <c r="G3" s="17" t="s">
        <v>90</v>
      </c>
      <c r="H3" s="22" t="s">
        <v>91</v>
      </c>
      <c r="I3" s="31" t="s">
        <v>92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>
      <c r="A4" s="15"/>
      <c r="B4" s="19">
        <v>1</v>
      </c>
      <c r="C4" s="19" t="s">
        <v>35</v>
      </c>
      <c r="D4" s="32" t="s">
        <v>36</v>
      </c>
      <c r="E4" s="19">
        <v>56</v>
      </c>
      <c r="F4" s="19">
        <v>87</v>
      </c>
      <c r="G4" s="19">
        <v>35</v>
      </c>
      <c r="H4" s="15"/>
      <c r="I4" s="15"/>
      <c r="J4" s="15"/>
      <c r="K4" s="17" t="s">
        <v>93</v>
      </c>
      <c r="L4" s="21"/>
      <c r="M4" s="15"/>
      <c r="N4" s="17"/>
      <c r="O4" s="21"/>
      <c r="P4" s="19"/>
      <c r="Q4" s="19"/>
      <c r="R4" s="15"/>
      <c r="S4" s="15"/>
      <c r="T4" s="19"/>
      <c r="U4" s="15"/>
      <c r="V4" s="15"/>
      <c r="W4" s="15"/>
      <c r="X4" s="15"/>
      <c r="Y4" s="15"/>
      <c r="Z4" s="15"/>
    </row>
    <row r="5" spans="1:26">
      <c r="A5" s="15"/>
      <c r="B5" s="19">
        <v>2</v>
      </c>
      <c r="C5" s="19" t="s">
        <v>37</v>
      </c>
      <c r="D5" s="32" t="s">
        <v>38</v>
      </c>
      <c r="E5" s="19">
        <v>98</v>
      </c>
      <c r="F5" s="19">
        <v>98</v>
      </c>
      <c r="G5" s="19">
        <v>68</v>
      </c>
      <c r="H5" s="15"/>
      <c r="I5" s="15"/>
      <c r="J5" s="15"/>
      <c r="K5" s="19"/>
      <c r="L5" s="19"/>
      <c r="M5" s="15"/>
      <c r="N5" s="15"/>
      <c r="O5" s="15"/>
      <c r="P5" s="19"/>
      <c r="Q5" s="19"/>
      <c r="R5" s="15"/>
      <c r="S5" s="15"/>
      <c r="T5" s="19"/>
      <c r="U5" s="15"/>
      <c r="V5" s="15"/>
      <c r="W5" s="15"/>
      <c r="X5" s="15"/>
      <c r="Y5" s="15"/>
      <c r="Z5" s="15"/>
    </row>
    <row r="6" spans="1:26">
      <c r="A6" s="15"/>
      <c r="B6" s="19">
        <v>3</v>
      </c>
      <c r="C6" s="19" t="s">
        <v>39</v>
      </c>
      <c r="D6" s="32" t="s">
        <v>40</v>
      </c>
      <c r="E6" s="19">
        <v>68</v>
      </c>
      <c r="F6" s="19" t="s">
        <v>94</v>
      </c>
      <c r="G6" s="19"/>
      <c r="H6" s="15"/>
      <c r="I6" s="15"/>
      <c r="J6" s="15"/>
      <c r="K6" s="19"/>
      <c r="L6" s="19"/>
      <c r="M6" s="15"/>
      <c r="N6" s="15"/>
      <c r="O6" s="15"/>
      <c r="P6" s="19"/>
      <c r="Q6" s="19"/>
      <c r="R6" s="15"/>
      <c r="S6" s="15"/>
      <c r="T6" s="19"/>
      <c r="U6" s="15"/>
      <c r="V6" s="15"/>
      <c r="W6" s="15"/>
      <c r="X6" s="15"/>
      <c r="Y6" s="15"/>
      <c r="Z6" s="15"/>
    </row>
    <row r="7" spans="1:26" ht="15.75">
      <c r="A7" s="15"/>
      <c r="B7" s="19">
        <v>4</v>
      </c>
      <c r="C7" s="19" t="s">
        <v>41</v>
      </c>
      <c r="D7" s="32" t="s">
        <v>42</v>
      </c>
      <c r="E7" s="19">
        <v>57</v>
      </c>
      <c r="F7" s="19">
        <v>87</v>
      </c>
      <c r="G7" s="19">
        <v>58</v>
      </c>
      <c r="H7" s="15"/>
      <c r="I7" s="15"/>
      <c r="J7" s="15"/>
      <c r="K7" s="17" t="s">
        <v>95</v>
      </c>
      <c r="L7" s="21"/>
      <c r="M7" s="15"/>
      <c r="N7" s="17"/>
      <c r="O7" s="21"/>
      <c r="P7" s="15"/>
      <c r="Q7" s="19"/>
      <c r="R7" s="15"/>
      <c r="S7" s="15"/>
      <c r="T7" s="19"/>
      <c r="U7" s="15"/>
      <c r="V7" s="15"/>
      <c r="W7" s="15"/>
      <c r="X7" s="15"/>
      <c r="Y7" s="15"/>
      <c r="Z7" s="15"/>
    </row>
    <row r="8" spans="1:26">
      <c r="A8" s="15"/>
      <c r="B8" s="19">
        <v>5</v>
      </c>
      <c r="C8" s="19" t="s">
        <v>43</v>
      </c>
      <c r="D8" s="32" t="s">
        <v>44</v>
      </c>
      <c r="E8" s="19">
        <v>54</v>
      </c>
      <c r="F8" s="19">
        <v>47</v>
      </c>
      <c r="G8" s="19">
        <v>87</v>
      </c>
      <c r="H8" s="15"/>
      <c r="I8" s="15"/>
      <c r="J8" s="15"/>
      <c r="K8" s="15"/>
      <c r="L8" s="15"/>
      <c r="M8" s="15"/>
      <c r="N8" s="15"/>
      <c r="O8" s="15"/>
      <c r="P8" s="15"/>
      <c r="Q8" s="19"/>
      <c r="R8" s="15"/>
      <c r="S8" s="15"/>
      <c r="T8" s="19"/>
      <c r="U8" s="15"/>
      <c r="V8" s="15"/>
      <c r="W8" s="15"/>
      <c r="X8" s="15"/>
      <c r="Y8" s="15"/>
      <c r="Z8" s="15"/>
    </row>
    <row r="9" spans="1:26" ht="15.75">
      <c r="A9" s="15"/>
      <c r="B9" s="19">
        <v>6</v>
      </c>
      <c r="C9" s="19" t="s">
        <v>45</v>
      </c>
      <c r="D9" s="32" t="s">
        <v>46</v>
      </c>
      <c r="E9" s="19">
        <v>24</v>
      </c>
      <c r="F9" s="19">
        <v>52</v>
      </c>
      <c r="G9" s="19"/>
      <c r="H9" s="15"/>
      <c r="I9" s="15"/>
      <c r="J9" s="15"/>
      <c r="K9" s="15"/>
      <c r="L9" s="15"/>
      <c r="M9" s="15"/>
      <c r="N9" s="17"/>
      <c r="O9" s="21"/>
      <c r="P9" s="15"/>
      <c r="Q9" s="19"/>
      <c r="R9" s="15"/>
      <c r="S9" s="15"/>
      <c r="T9" s="19"/>
      <c r="U9" s="15"/>
      <c r="V9" s="15"/>
      <c r="W9" s="15"/>
      <c r="X9" s="15"/>
      <c r="Y9" s="15"/>
      <c r="Z9" s="15"/>
    </row>
    <row r="10" spans="1:26" ht="15.75">
      <c r="A10" s="15"/>
      <c r="B10" s="19">
        <v>7</v>
      </c>
      <c r="C10" s="19" t="s">
        <v>47</v>
      </c>
      <c r="D10" s="32" t="s">
        <v>48</v>
      </c>
      <c r="E10" s="19">
        <v>65</v>
      </c>
      <c r="F10" s="19">
        <v>25</v>
      </c>
      <c r="G10" s="19">
        <v>61</v>
      </c>
      <c r="H10" s="15"/>
      <c r="I10" s="15"/>
      <c r="J10" s="17"/>
      <c r="K10" s="22" t="s">
        <v>96</v>
      </c>
      <c r="L10" s="19"/>
      <c r="M10" s="15"/>
      <c r="N10" s="15"/>
      <c r="O10" s="15"/>
      <c r="P10" s="19"/>
      <c r="Q10" s="19"/>
      <c r="R10" s="15"/>
      <c r="S10" s="15"/>
      <c r="T10" s="19"/>
      <c r="U10" s="15"/>
      <c r="V10" s="15"/>
      <c r="W10" s="15"/>
      <c r="X10" s="15"/>
      <c r="Y10" s="15"/>
      <c r="Z10" s="15"/>
    </row>
    <row r="11" spans="1:26">
      <c r="A11" s="15"/>
      <c r="B11" s="19">
        <v>8</v>
      </c>
      <c r="C11" s="19" t="s">
        <v>49</v>
      </c>
      <c r="D11" s="32" t="s">
        <v>50</v>
      </c>
      <c r="E11" s="19">
        <v>54</v>
      </c>
      <c r="F11" s="19" t="s">
        <v>94</v>
      </c>
      <c r="G11" s="19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9"/>
      <c r="U11" s="15"/>
      <c r="V11" s="15"/>
      <c r="W11" s="15"/>
      <c r="X11" s="15"/>
      <c r="Y11" s="15"/>
      <c r="Z11" s="15"/>
    </row>
    <row r="12" spans="1:26">
      <c r="A12" s="15"/>
      <c r="B12" s="19">
        <v>9</v>
      </c>
      <c r="C12" s="19" t="s">
        <v>51</v>
      </c>
      <c r="D12" s="32" t="s">
        <v>52</v>
      </c>
      <c r="E12" s="19">
        <v>32</v>
      </c>
      <c r="F12" s="19">
        <v>87</v>
      </c>
      <c r="G12" s="19">
        <v>93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9"/>
      <c r="U12" s="15"/>
      <c r="V12" s="15"/>
      <c r="W12" s="15"/>
      <c r="X12" s="15"/>
      <c r="Y12" s="15"/>
      <c r="Z12" s="15"/>
    </row>
    <row r="13" spans="1:26" ht="18.75" customHeight="1">
      <c r="A13" s="15"/>
      <c r="B13" s="19">
        <v>10</v>
      </c>
      <c r="C13" s="19" t="s">
        <v>53</v>
      </c>
      <c r="D13" s="32" t="s">
        <v>54</v>
      </c>
      <c r="E13" s="19">
        <v>45</v>
      </c>
      <c r="F13" s="19">
        <v>98</v>
      </c>
      <c r="G13" s="19">
        <v>92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9"/>
      <c r="U13" s="15"/>
      <c r="V13" s="15"/>
      <c r="W13" s="15"/>
      <c r="X13" s="15"/>
      <c r="Y13" s="15"/>
      <c r="Z13" s="15"/>
    </row>
    <row r="14" spans="1:26">
      <c r="A14" s="15"/>
      <c r="B14" s="15"/>
      <c r="C14" s="15"/>
      <c r="D14" s="15"/>
      <c r="E14" s="15"/>
      <c r="F14" s="58" t="s">
        <v>97</v>
      </c>
      <c r="G14" s="54"/>
      <c r="H14" s="54"/>
      <c r="I14" s="54"/>
      <c r="J14" s="54"/>
      <c r="K14" s="54"/>
      <c r="L14" s="54"/>
      <c r="M14" s="54"/>
      <c r="N14" s="54"/>
      <c r="O14" s="55"/>
      <c r="P14" s="19"/>
      <c r="Q14" s="19"/>
      <c r="R14" s="19"/>
      <c r="S14" s="19"/>
      <c r="T14" s="19"/>
      <c r="U14" s="15"/>
      <c r="V14" s="15"/>
      <c r="W14" s="15"/>
      <c r="X14" s="15"/>
      <c r="Y14" s="15"/>
      <c r="Z14" s="15"/>
    </row>
    <row r="15" spans="1:26" ht="18.75" customHeight="1">
      <c r="A15" s="15"/>
      <c r="B15" s="15"/>
      <c r="C15" s="15"/>
      <c r="D15" s="15"/>
      <c r="E15" s="15"/>
      <c r="F15" s="19"/>
      <c r="G15" s="19">
        <f>COUNTA(C4:C13)</f>
        <v>10</v>
      </c>
      <c r="H15" s="19"/>
      <c r="I15" s="19"/>
      <c r="J15" s="19"/>
      <c r="K15" s="19"/>
      <c r="L15" s="19"/>
      <c r="M15" s="19"/>
      <c r="N15" s="17"/>
      <c r="O15" s="21"/>
      <c r="P15" s="15"/>
      <c r="Q15" s="15"/>
      <c r="R15" s="15"/>
      <c r="S15" s="33"/>
      <c r="T15" s="33"/>
      <c r="U15" s="15"/>
      <c r="V15" s="15"/>
      <c r="W15" s="15"/>
      <c r="X15" s="15"/>
      <c r="Y15" s="15"/>
      <c r="Z15" s="15"/>
    </row>
    <row r="16" spans="1:26">
      <c r="A16" s="15"/>
      <c r="B16" s="15"/>
      <c r="C16" s="15"/>
      <c r="D16" s="15"/>
      <c r="E16" s="15"/>
      <c r="F16" s="58" t="s">
        <v>98</v>
      </c>
      <c r="G16" s="54"/>
      <c r="H16" s="54"/>
      <c r="I16" s="54"/>
      <c r="J16" s="54"/>
      <c r="K16" s="54"/>
      <c r="L16" s="54"/>
      <c r="M16" s="55"/>
      <c r="N16" s="19"/>
      <c r="O16" s="19"/>
      <c r="P16" s="15"/>
      <c r="Q16" s="15"/>
      <c r="R16" s="15"/>
      <c r="S16" s="19"/>
      <c r="T16" s="19"/>
      <c r="U16" s="15"/>
      <c r="V16" s="15"/>
      <c r="W16" s="15"/>
      <c r="X16" s="15"/>
      <c r="Y16" s="15"/>
      <c r="Z16" s="15"/>
    </row>
    <row r="17" spans="1:26">
      <c r="A17" s="15"/>
      <c r="B17" s="15"/>
      <c r="C17" s="15"/>
      <c r="D17" s="15"/>
      <c r="E17" s="15"/>
      <c r="F17" s="15"/>
      <c r="G17" s="15">
        <f>COUNT(F4:F13)</f>
        <v>8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9"/>
      <c r="T17" s="19"/>
      <c r="U17" s="15"/>
      <c r="V17" s="15"/>
      <c r="W17" s="15"/>
      <c r="X17" s="15"/>
      <c r="Y17" s="15"/>
      <c r="Z17" s="15"/>
    </row>
    <row r="18" spans="1:26">
      <c r="A18" s="15"/>
      <c r="B18" s="15"/>
      <c r="C18" s="15"/>
      <c r="D18" s="15"/>
      <c r="E18" s="15"/>
      <c r="F18" s="58" t="s">
        <v>99</v>
      </c>
      <c r="G18" s="54"/>
      <c r="H18" s="54"/>
      <c r="I18" s="54"/>
      <c r="J18" s="54"/>
      <c r="K18" s="54"/>
      <c r="L18" s="54"/>
      <c r="M18" s="54"/>
      <c r="N18" s="54"/>
      <c r="O18" s="5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>
      <c r="A19" s="15"/>
      <c r="B19" s="15"/>
      <c r="C19" s="15"/>
      <c r="D19" s="15"/>
      <c r="E19" s="15"/>
      <c r="F19" s="15"/>
      <c r="G19" s="15">
        <f>COUNTBLANK(G4:G13)</f>
        <v>3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4">
    <mergeCell ref="A1:T1"/>
    <mergeCell ref="F14:O14"/>
    <mergeCell ref="F16:M16"/>
    <mergeCell ref="F18:O18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L1000"/>
  <sheetViews>
    <sheetView workbookViewId="0"/>
  </sheetViews>
  <sheetFormatPr defaultColWidth="14.42578125" defaultRowHeight="15" customHeight="1"/>
  <cols>
    <col min="1" max="2" width="8.7109375" customWidth="1"/>
    <col min="7" max="26" width="8.7109375" customWidth="1"/>
  </cols>
  <sheetData>
    <row r="1" spans="3:12" ht="21">
      <c r="C1" s="34" t="s">
        <v>100</v>
      </c>
    </row>
    <row r="3" spans="3:12">
      <c r="C3" s="25" t="s">
        <v>101</v>
      </c>
      <c r="D3" s="25" t="s">
        <v>102</v>
      </c>
      <c r="E3" s="25" t="s">
        <v>103</v>
      </c>
      <c r="F3" s="25" t="s">
        <v>104</v>
      </c>
    </row>
    <row r="4" spans="3:12">
      <c r="C4" s="26" t="s">
        <v>105</v>
      </c>
      <c r="D4" s="26">
        <v>10</v>
      </c>
      <c r="E4" s="26">
        <v>15</v>
      </c>
      <c r="F4" s="26">
        <v>5</v>
      </c>
    </row>
    <row r="5" spans="3:12">
      <c r="C5" s="26" t="s">
        <v>106</v>
      </c>
      <c r="D5" s="26">
        <v>4</v>
      </c>
      <c r="E5" s="26">
        <v>120</v>
      </c>
      <c r="F5" s="35">
        <v>0</v>
      </c>
      <c r="H5" s="59" t="s">
        <v>107</v>
      </c>
      <c r="I5" s="60"/>
      <c r="J5" s="60"/>
      <c r="K5" s="60"/>
      <c r="L5" s="60"/>
    </row>
    <row r="6" spans="3:12">
      <c r="C6" s="26" t="s">
        <v>108</v>
      </c>
      <c r="D6" s="26">
        <v>2</v>
      </c>
      <c r="E6" s="26">
        <v>450</v>
      </c>
      <c r="F6" s="26">
        <v>0</v>
      </c>
    </row>
    <row r="7" spans="3:12">
      <c r="C7" s="26" t="s">
        <v>109</v>
      </c>
      <c r="D7" s="26">
        <v>5</v>
      </c>
      <c r="E7" s="26">
        <v>60</v>
      </c>
      <c r="F7" s="26">
        <v>12</v>
      </c>
      <c r="H7" s="59" t="s">
        <v>110</v>
      </c>
      <c r="I7" s="60"/>
      <c r="J7" s="60"/>
      <c r="K7" s="60"/>
      <c r="L7" s="60"/>
    </row>
    <row r="8" spans="3:12">
      <c r="C8" s="26" t="s">
        <v>111</v>
      </c>
      <c r="D8" s="26">
        <v>8</v>
      </c>
      <c r="E8" s="26">
        <v>30</v>
      </c>
      <c r="F8" s="26">
        <v>8</v>
      </c>
    </row>
    <row r="9" spans="3:12">
      <c r="C9" s="26" t="s">
        <v>112</v>
      </c>
      <c r="D9" s="26">
        <v>3</v>
      </c>
      <c r="E9" s="26">
        <v>80</v>
      </c>
      <c r="F9" s="26">
        <v>5</v>
      </c>
      <c r="H9" s="59" t="s">
        <v>113</v>
      </c>
      <c r="I9" s="60"/>
      <c r="J9" s="60"/>
      <c r="K9" s="60"/>
      <c r="L9" s="60"/>
    </row>
    <row r="10" spans="3:12">
      <c r="C10" s="26" t="s">
        <v>114</v>
      </c>
      <c r="D10" s="26">
        <v>6</v>
      </c>
      <c r="E10" s="26">
        <v>25</v>
      </c>
      <c r="F10" s="26"/>
    </row>
    <row r="11" spans="3:12">
      <c r="C11" s="26" t="s">
        <v>115</v>
      </c>
      <c r="D11" s="26">
        <v>9</v>
      </c>
      <c r="E11" s="26">
        <v>12</v>
      </c>
      <c r="F11" s="26">
        <v>2</v>
      </c>
    </row>
    <row r="12" spans="3:12">
      <c r="C12" s="26" t="s">
        <v>116</v>
      </c>
      <c r="D12" s="26">
        <v>12</v>
      </c>
      <c r="E12" s="26">
        <v>5</v>
      </c>
      <c r="F12" s="35"/>
    </row>
    <row r="13" spans="3:12">
      <c r="C13" s="26" t="s">
        <v>117</v>
      </c>
      <c r="D13" s="26">
        <v>7</v>
      </c>
      <c r="E13" s="26">
        <v>45</v>
      </c>
      <c r="F13" s="26">
        <v>10</v>
      </c>
    </row>
    <row r="14" spans="3:12">
      <c r="C14" s="26" t="s">
        <v>118</v>
      </c>
      <c r="D14" s="26">
        <v>5</v>
      </c>
      <c r="E14" s="26">
        <v>100</v>
      </c>
      <c r="F14" s="35"/>
    </row>
    <row r="15" spans="3:12">
      <c r="C15" s="26" t="s">
        <v>119</v>
      </c>
      <c r="D15" s="26">
        <v>11</v>
      </c>
      <c r="E15" s="26">
        <v>55</v>
      </c>
      <c r="F15" s="26">
        <v>5</v>
      </c>
    </row>
    <row r="16" spans="3:12">
      <c r="C16" s="26" t="s">
        <v>120</v>
      </c>
      <c r="D16" s="26">
        <v>10</v>
      </c>
      <c r="E16" s="26">
        <v>40</v>
      </c>
      <c r="F16" s="26">
        <v>3</v>
      </c>
    </row>
    <row r="17" spans="3:6">
      <c r="C17" s="26" t="s">
        <v>121</v>
      </c>
      <c r="D17" s="26">
        <v>4</v>
      </c>
      <c r="E17" s="26">
        <v>300</v>
      </c>
      <c r="F17" s="35">
        <v>0</v>
      </c>
    </row>
    <row r="18" spans="3:6">
      <c r="C18" s="26" t="s">
        <v>122</v>
      </c>
      <c r="D18" s="26">
        <v>6</v>
      </c>
      <c r="E18" s="26">
        <v>22</v>
      </c>
      <c r="F18" s="26">
        <v>7</v>
      </c>
    </row>
    <row r="21" spans="3:6" ht="15.75" customHeight="1"/>
    <row r="22" spans="3:6" ht="15.75" customHeight="1"/>
    <row r="23" spans="3:6" ht="15.75" customHeight="1"/>
    <row r="24" spans="3:6" ht="15.75" customHeight="1"/>
    <row r="25" spans="3:6" ht="15.75" customHeight="1"/>
    <row r="26" spans="3:6" ht="15.75" customHeight="1"/>
    <row r="27" spans="3:6" ht="15.75" customHeight="1"/>
    <row r="28" spans="3:6" ht="15.75" customHeight="1"/>
    <row r="29" spans="3:6" ht="15.75" customHeight="1"/>
    <row r="30" spans="3:6" ht="15.75" customHeight="1"/>
    <row r="31" spans="3:6" ht="15.75" customHeight="1"/>
    <row r="32" spans="3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5:L5"/>
    <mergeCell ref="H7:L7"/>
    <mergeCell ref="H9:L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2:17" ht="26.25">
      <c r="B1" s="37" t="s">
        <v>123</v>
      </c>
    </row>
    <row r="3" spans="2:17" ht="60">
      <c r="C3" s="25" t="s">
        <v>124</v>
      </c>
      <c r="D3" s="25" t="s">
        <v>125</v>
      </c>
      <c r="E3" s="25" t="s">
        <v>126</v>
      </c>
      <c r="F3" s="25" t="s">
        <v>127</v>
      </c>
      <c r="G3" s="25" t="s">
        <v>128</v>
      </c>
      <c r="H3" s="25" t="s">
        <v>129</v>
      </c>
    </row>
    <row r="4" spans="2:17">
      <c r="C4" s="26" t="s">
        <v>130</v>
      </c>
      <c r="D4" s="26" t="s">
        <v>131</v>
      </c>
      <c r="E4" s="26">
        <v>10</v>
      </c>
      <c r="F4" s="26">
        <v>5.5377999999999998</v>
      </c>
      <c r="G4" s="26">
        <v>1200</v>
      </c>
      <c r="H4" s="26">
        <v>50</v>
      </c>
      <c r="K4" s="63" t="s">
        <v>132</v>
      </c>
      <c r="L4" s="60"/>
      <c r="M4" s="60"/>
      <c r="N4" s="60"/>
      <c r="O4" s="60"/>
      <c r="P4" s="60"/>
      <c r="Q4" s="60"/>
    </row>
    <row r="5" spans="2:17">
      <c r="C5" s="26" t="s">
        <v>133</v>
      </c>
      <c r="D5" s="26" t="s">
        <v>134</v>
      </c>
      <c r="E5" s="26">
        <v>5</v>
      </c>
      <c r="F5" s="26">
        <v>7.9812000000000003</v>
      </c>
      <c r="G5" s="26">
        <v>1500</v>
      </c>
      <c r="H5" s="26">
        <v>60</v>
      </c>
      <c r="K5" s="63"/>
      <c r="L5" s="60"/>
      <c r="M5" s="60"/>
      <c r="N5" s="60"/>
      <c r="O5" s="60"/>
      <c r="P5" s="60"/>
      <c r="Q5" s="60"/>
    </row>
    <row r="6" spans="2:17" ht="30">
      <c r="C6" s="26" t="s">
        <v>135</v>
      </c>
      <c r="D6" s="26" t="s">
        <v>136</v>
      </c>
      <c r="E6" s="26" t="s">
        <v>137</v>
      </c>
      <c r="F6" s="26">
        <v>3.2456</v>
      </c>
      <c r="G6" s="26"/>
      <c r="H6" s="26">
        <v>40</v>
      </c>
      <c r="K6" s="63" t="s">
        <v>138</v>
      </c>
      <c r="L6" s="60"/>
      <c r="M6" s="60"/>
      <c r="N6" s="60"/>
      <c r="O6" s="60"/>
      <c r="P6" s="60"/>
      <c r="Q6" s="60"/>
    </row>
    <row r="7" spans="2:17">
      <c r="C7" s="26" t="s">
        <v>139</v>
      </c>
      <c r="D7" s="26" t="s">
        <v>140</v>
      </c>
      <c r="E7" s="26">
        <v>20</v>
      </c>
      <c r="F7" s="26">
        <v>1.0083</v>
      </c>
      <c r="G7" s="26">
        <v>600</v>
      </c>
      <c r="H7" s="26">
        <v>20</v>
      </c>
      <c r="K7" s="63"/>
      <c r="L7" s="60"/>
      <c r="M7" s="60"/>
      <c r="N7" s="60"/>
      <c r="O7" s="60"/>
      <c r="P7" s="60"/>
      <c r="Q7" s="60"/>
    </row>
    <row r="8" spans="2:17">
      <c r="C8" s="26" t="s">
        <v>141</v>
      </c>
      <c r="D8" s="26" t="s">
        <v>142</v>
      </c>
      <c r="E8" s="26">
        <v>8</v>
      </c>
      <c r="F8" s="26">
        <v>6.5891000000000002</v>
      </c>
      <c r="G8" s="26">
        <v>1400</v>
      </c>
      <c r="H8" s="26">
        <v>55</v>
      </c>
      <c r="K8" s="63" t="s">
        <v>143</v>
      </c>
      <c r="L8" s="60"/>
      <c r="M8" s="60"/>
      <c r="N8" s="60"/>
      <c r="O8" s="60"/>
      <c r="P8" s="60"/>
      <c r="Q8" s="60"/>
    </row>
    <row r="9" spans="2:17">
      <c r="C9" s="26" t="s">
        <v>144</v>
      </c>
      <c r="D9" s="26" t="s">
        <v>145</v>
      </c>
      <c r="E9" s="26">
        <v>6</v>
      </c>
      <c r="F9" s="26">
        <v>4.4226999999999999</v>
      </c>
      <c r="G9" s="26">
        <v>1000</v>
      </c>
      <c r="H9" s="26">
        <v>45</v>
      </c>
      <c r="K9" s="59"/>
      <c r="L9" s="60"/>
      <c r="M9" s="60"/>
      <c r="N9" s="60"/>
      <c r="O9" s="60"/>
      <c r="P9" s="60"/>
      <c r="Q9" s="60"/>
    </row>
    <row r="10" spans="2:17">
      <c r="C10" s="26" t="s">
        <v>146</v>
      </c>
      <c r="D10" s="26" t="s">
        <v>147</v>
      </c>
      <c r="E10" s="26">
        <v>12</v>
      </c>
      <c r="F10" s="26">
        <v>2.8744999999999998</v>
      </c>
      <c r="G10" s="26">
        <v>1100</v>
      </c>
      <c r="H10" s="26">
        <v>50</v>
      </c>
      <c r="K10" s="63" t="s">
        <v>148</v>
      </c>
      <c r="L10" s="60"/>
      <c r="M10" s="60"/>
      <c r="N10" s="60"/>
      <c r="O10" s="60"/>
      <c r="P10" s="60"/>
      <c r="Q10" s="60"/>
    </row>
    <row r="11" spans="2:17">
      <c r="C11" s="26" t="s">
        <v>149</v>
      </c>
      <c r="D11" s="26" t="s">
        <v>150</v>
      </c>
      <c r="E11" s="26">
        <v>9</v>
      </c>
      <c r="F11" s="26">
        <v>3.3451</v>
      </c>
      <c r="G11" s="26"/>
      <c r="H11" s="26">
        <v>48</v>
      </c>
      <c r="K11" s="63"/>
      <c r="L11" s="60"/>
      <c r="M11" s="60"/>
      <c r="N11" s="60"/>
      <c r="O11" s="60"/>
      <c r="P11" s="60"/>
      <c r="Q11" s="60"/>
    </row>
    <row r="12" spans="2:17">
      <c r="C12" s="26" t="s">
        <v>151</v>
      </c>
      <c r="D12" s="26" t="s">
        <v>152</v>
      </c>
      <c r="E12" s="26">
        <v>14</v>
      </c>
      <c r="F12" s="26">
        <v>4.0327999999999999</v>
      </c>
      <c r="G12" s="26">
        <v>1050</v>
      </c>
      <c r="H12" s="26">
        <v>52</v>
      </c>
      <c r="K12" s="63" t="s">
        <v>153</v>
      </c>
      <c r="L12" s="60"/>
      <c r="M12" s="60"/>
      <c r="N12" s="60"/>
      <c r="O12" s="60"/>
      <c r="P12" s="60"/>
      <c r="Q12" s="60"/>
    </row>
    <row r="13" spans="2:17" ht="30">
      <c r="C13" s="26" t="s">
        <v>154</v>
      </c>
      <c r="D13" s="26" t="s">
        <v>155</v>
      </c>
      <c r="E13" s="26">
        <v>7</v>
      </c>
      <c r="F13" s="26">
        <v>2.1196999999999999</v>
      </c>
      <c r="G13" s="26">
        <v>900</v>
      </c>
      <c r="H13" s="26">
        <v>44</v>
      </c>
      <c r="K13" s="63"/>
      <c r="L13" s="60"/>
      <c r="M13" s="60"/>
      <c r="N13" s="60"/>
      <c r="O13" s="60"/>
      <c r="P13" s="60"/>
      <c r="Q13" s="60"/>
    </row>
    <row r="14" spans="2:17">
      <c r="C14" s="26" t="s">
        <v>156</v>
      </c>
      <c r="D14" s="26" t="s">
        <v>157</v>
      </c>
      <c r="E14" s="26">
        <v>25</v>
      </c>
      <c r="F14" s="26">
        <v>0.51759999999999995</v>
      </c>
      <c r="G14" s="26">
        <v>500</v>
      </c>
      <c r="H14" s="26">
        <v>18</v>
      </c>
      <c r="K14" s="63" t="s">
        <v>158</v>
      </c>
      <c r="L14" s="60"/>
      <c r="M14" s="60"/>
      <c r="N14" s="60"/>
      <c r="O14" s="60"/>
      <c r="P14" s="60"/>
      <c r="Q14" s="60"/>
    </row>
    <row r="15" spans="2:17">
      <c r="C15" s="26" t="s">
        <v>159</v>
      </c>
      <c r="D15" s="26" t="s">
        <v>160</v>
      </c>
      <c r="E15" s="26">
        <v>18</v>
      </c>
      <c r="F15" s="26">
        <v>0.71489999999999998</v>
      </c>
      <c r="G15" s="26">
        <v>550</v>
      </c>
      <c r="H15" s="26">
        <v>22</v>
      </c>
      <c r="K15" s="59"/>
      <c r="L15" s="60"/>
      <c r="M15" s="60"/>
      <c r="N15" s="60"/>
      <c r="O15" s="60"/>
      <c r="P15" s="60"/>
      <c r="Q15" s="60"/>
    </row>
    <row r="16" spans="2:17">
      <c r="C16" s="26" t="s">
        <v>161</v>
      </c>
      <c r="D16" s="26" t="s">
        <v>162</v>
      </c>
      <c r="E16" s="26">
        <v>11</v>
      </c>
      <c r="F16" s="26">
        <v>1.2633000000000001</v>
      </c>
      <c r="G16" s="26">
        <v>650</v>
      </c>
      <c r="H16" s="26">
        <v>25</v>
      </c>
      <c r="K16" s="63" t="s">
        <v>163</v>
      </c>
      <c r="L16" s="60"/>
      <c r="M16" s="60"/>
      <c r="N16" s="60"/>
      <c r="O16" s="60"/>
      <c r="P16" s="60"/>
      <c r="Q16" s="60"/>
    </row>
    <row r="17" spans="3:18">
      <c r="C17" s="26" t="s">
        <v>164</v>
      </c>
      <c r="D17" s="26" t="s">
        <v>165</v>
      </c>
      <c r="E17" s="26">
        <v>13</v>
      </c>
      <c r="F17" s="26">
        <v>0.6018</v>
      </c>
      <c r="G17" s="26">
        <v>580</v>
      </c>
      <c r="H17" s="26">
        <v>20</v>
      </c>
      <c r="K17" s="63"/>
      <c r="L17" s="60"/>
      <c r="M17" s="60"/>
      <c r="N17" s="60"/>
      <c r="O17" s="60"/>
      <c r="P17" s="60"/>
      <c r="Q17" s="60"/>
    </row>
    <row r="18" spans="3:18" ht="30">
      <c r="C18" s="26" t="s">
        <v>166</v>
      </c>
      <c r="D18" s="26" t="s">
        <v>167</v>
      </c>
      <c r="E18" s="26">
        <v>10</v>
      </c>
      <c r="F18" s="26">
        <v>2.9973999999999998</v>
      </c>
      <c r="G18" s="26">
        <v>1300</v>
      </c>
      <c r="H18" s="26">
        <v>55</v>
      </c>
      <c r="K18" s="63" t="s">
        <v>168</v>
      </c>
      <c r="L18" s="60"/>
      <c r="M18" s="60"/>
      <c r="N18" s="60"/>
      <c r="O18" s="60"/>
      <c r="P18" s="60"/>
      <c r="Q18" s="60"/>
    </row>
    <row r="19" spans="3:18">
      <c r="K19" s="59"/>
      <c r="L19" s="60"/>
      <c r="M19" s="60"/>
      <c r="N19" s="60"/>
      <c r="O19" s="60"/>
      <c r="P19" s="60"/>
      <c r="Q19" s="60"/>
    </row>
    <row r="20" spans="3:18">
      <c r="K20" s="59" t="s">
        <v>169</v>
      </c>
      <c r="L20" s="60"/>
      <c r="M20" s="60"/>
      <c r="N20" s="60"/>
      <c r="O20" s="60"/>
      <c r="P20" s="60"/>
      <c r="Q20" s="60"/>
    </row>
    <row r="21" spans="3:18" ht="15.75" customHeight="1">
      <c r="K21" s="59"/>
      <c r="L21" s="60"/>
      <c r="M21" s="60"/>
      <c r="N21" s="60"/>
      <c r="O21" s="60"/>
      <c r="P21" s="60"/>
      <c r="Q21" s="60"/>
    </row>
    <row r="22" spans="3:18" ht="15.75" customHeight="1">
      <c r="K22" s="59" t="s">
        <v>170</v>
      </c>
      <c r="L22" s="60"/>
      <c r="M22" s="60"/>
      <c r="N22" s="60"/>
      <c r="O22" s="60"/>
      <c r="P22" s="60"/>
      <c r="Q22" s="60"/>
    </row>
    <row r="23" spans="3:18" ht="15.75" customHeight="1">
      <c r="K23" s="59"/>
      <c r="L23" s="60"/>
      <c r="M23" s="60"/>
      <c r="N23" s="60"/>
      <c r="O23" s="60"/>
      <c r="P23" s="60"/>
      <c r="Q23" s="60"/>
    </row>
    <row r="24" spans="3:18" ht="15.75" customHeight="1">
      <c r="K24" s="63" t="s">
        <v>171</v>
      </c>
      <c r="L24" s="60"/>
      <c r="M24" s="60"/>
      <c r="N24" s="60"/>
      <c r="O24" s="60"/>
      <c r="P24" s="60"/>
      <c r="Q24" s="60"/>
    </row>
    <row r="25" spans="3:18" ht="15.75" customHeight="1">
      <c r="K25" s="63"/>
      <c r="L25" s="60"/>
      <c r="M25" s="60"/>
      <c r="N25" s="60"/>
      <c r="O25" s="60"/>
      <c r="P25" s="60"/>
      <c r="Q25" s="60"/>
    </row>
    <row r="26" spans="3:18" ht="15.75" customHeight="1">
      <c r="I26" s="61" t="s">
        <v>172</v>
      </c>
      <c r="J26" s="51"/>
      <c r="K26" s="62" t="s">
        <v>173</v>
      </c>
      <c r="L26" s="51"/>
      <c r="M26" s="51"/>
      <c r="N26" s="51"/>
      <c r="O26" s="51"/>
      <c r="P26" s="51"/>
      <c r="Q26" s="51"/>
      <c r="R26" s="39" t="str">
        <f t="array" ref="R26">VLOOKUP(MAX(G3:G18),CHOOSE({1,2},G3:G18,D3:D18),2,FALSE)</f>
        <v>Monitor</v>
      </c>
    </row>
    <row r="27" spans="3:18" ht="15.75" customHeight="1">
      <c r="K27" s="59"/>
      <c r="L27" s="60"/>
      <c r="M27" s="60"/>
      <c r="N27" s="60"/>
      <c r="O27" s="60"/>
      <c r="P27" s="60"/>
      <c r="Q27" s="60"/>
    </row>
    <row r="28" spans="3:18" ht="15.75" customHeight="1">
      <c r="K28" s="63" t="s">
        <v>174</v>
      </c>
      <c r="L28" s="60"/>
      <c r="M28" s="60"/>
      <c r="N28" s="60"/>
      <c r="O28" s="60"/>
      <c r="P28" s="60"/>
      <c r="Q28" s="60"/>
    </row>
    <row r="29" spans="3:18" ht="15.75" customHeight="1">
      <c r="K29" s="63"/>
      <c r="L29" s="60"/>
      <c r="M29" s="60"/>
      <c r="N29" s="60"/>
      <c r="O29" s="60"/>
      <c r="P29" s="60"/>
      <c r="Q29" s="60"/>
    </row>
    <row r="30" spans="3:18" ht="15.75" customHeight="1">
      <c r="I30" s="61" t="s">
        <v>172</v>
      </c>
      <c r="J30" s="51"/>
      <c r="K30" s="62" t="s">
        <v>175</v>
      </c>
      <c r="L30" s="51"/>
      <c r="M30" s="51"/>
      <c r="N30" s="51"/>
      <c r="O30" s="51"/>
      <c r="P30" s="51"/>
      <c r="Q30" s="51"/>
    </row>
    <row r="31" spans="3:18" ht="15.75" customHeight="1">
      <c r="K31" s="59"/>
      <c r="L31" s="60"/>
      <c r="M31" s="60"/>
      <c r="N31" s="60"/>
      <c r="O31" s="60"/>
      <c r="P31" s="60"/>
      <c r="Q31" s="60"/>
    </row>
    <row r="32" spans="3:18" ht="15.75" customHeight="1">
      <c r="K32" s="59" t="s">
        <v>176</v>
      </c>
      <c r="L32" s="60"/>
      <c r="M32" s="60"/>
      <c r="N32" s="60"/>
      <c r="O32" s="60"/>
      <c r="P32" s="60"/>
      <c r="Q32" s="6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K4:Q4"/>
    <mergeCell ref="K5:Q5"/>
    <mergeCell ref="K6:Q6"/>
    <mergeCell ref="K7:Q7"/>
    <mergeCell ref="K8:Q8"/>
    <mergeCell ref="K9:Q9"/>
    <mergeCell ref="K10:Q10"/>
    <mergeCell ref="K11:Q11"/>
    <mergeCell ref="K12:Q12"/>
    <mergeCell ref="K13:Q13"/>
    <mergeCell ref="K14:Q14"/>
    <mergeCell ref="K15:Q15"/>
    <mergeCell ref="K16:Q16"/>
    <mergeCell ref="K17:Q17"/>
    <mergeCell ref="K18:Q18"/>
    <mergeCell ref="K19:Q19"/>
    <mergeCell ref="K20:Q20"/>
    <mergeCell ref="K21:Q21"/>
    <mergeCell ref="K22:Q22"/>
    <mergeCell ref="K23:Q23"/>
    <mergeCell ref="K24:Q24"/>
    <mergeCell ref="K30:Q30"/>
    <mergeCell ref="K31:Q31"/>
    <mergeCell ref="K32:Q32"/>
    <mergeCell ref="K25:Q25"/>
    <mergeCell ref="I30:J30"/>
    <mergeCell ref="I26:J26"/>
    <mergeCell ref="K26:Q26"/>
    <mergeCell ref="K27:Q27"/>
    <mergeCell ref="K28:Q28"/>
    <mergeCell ref="K29:Q2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1:A1000"/>
  <sheetViews>
    <sheetView showGridLines="0"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1:T1000"/>
  <sheetViews>
    <sheetView topLeftCell="B3" workbookViewId="0">
      <selection activeCell="S32" sqref="S32"/>
    </sheetView>
  </sheetViews>
  <sheetFormatPr defaultColWidth="14.42578125" defaultRowHeight="15" customHeight="1"/>
  <cols>
    <col min="1" max="2" width="8.7109375" customWidth="1"/>
    <col min="3" max="7" width="11" customWidth="1"/>
    <col min="8" max="8" width="12.85546875" customWidth="1"/>
    <col min="9" max="26" width="8.7109375" customWidth="1"/>
  </cols>
  <sheetData>
    <row r="1" spans="3:19" ht="21">
      <c r="C1" s="40" t="s">
        <v>177</v>
      </c>
    </row>
    <row r="3" spans="3:19" ht="30">
      <c r="C3" s="25" t="s">
        <v>178</v>
      </c>
      <c r="D3" s="25" t="s">
        <v>179</v>
      </c>
      <c r="E3" s="25" t="s">
        <v>180</v>
      </c>
      <c r="F3" s="25" t="s">
        <v>102</v>
      </c>
      <c r="G3" s="25" t="s">
        <v>336</v>
      </c>
      <c r="H3" s="25" t="s">
        <v>182</v>
      </c>
      <c r="J3" s="39">
        <v>1</v>
      </c>
      <c r="K3" s="36" t="s">
        <v>183</v>
      </c>
      <c r="Q3" s="41" t="s">
        <v>184</v>
      </c>
      <c r="R3" s="39">
        <f>SUMIF(D3:D18,Q3,F3:F18)</f>
        <v>240</v>
      </c>
      <c r="S3">
        <f>SUMIF(D3:D18,D4,F3:F18)</f>
        <v>240</v>
      </c>
    </row>
    <row r="4" spans="3:19">
      <c r="C4" s="26">
        <v>1001</v>
      </c>
      <c r="D4" s="26" t="s">
        <v>184</v>
      </c>
      <c r="E4" s="26" t="s">
        <v>185</v>
      </c>
      <c r="F4" s="26">
        <v>50</v>
      </c>
      <c r="G4" s="26">
        <v>1200</v>
      </c>
      <c r="H4" s="26" t="s">
        <v>186</v>
      </c>
    </row>
    <row r="5" spans="3:19">
      <c r="C5" s="26">
        <v>1002</v>
      </c>
      <c r="D5" s="26" t="s">
        <v>187</v>
      </c>
      <c r="E5" s="26" t="s">
        <v>188</v>
      </c>
      <c r="F5" s="26">
        <v>30</v>
      </c>
      <c r="G5" s="26">
        <v>800</v>
      </c>
      <c r="H5" s="26" t="s">
        <v>189</v>
      </c>
      <c r="J5" s="39">
        <v>2</v>
      </c>
      <c r="K5" s="36" t="s">
        <v>190</v>
      </c>
      <c r="R5" s="39">
        <f>SUMIF(E3:E18,E5,F3:F18)</f>
        <v>195</v>
      </c>
      <c r="S5">
        <f>SUMIF(E4:E18,E5,F4:F18)</f>
        <v>195</v>
      </c>
    </row>
    <row r="6" spans="3:19">
      <c r="C6" s="26">
        <v>1003</v>
      </c>
      <c r="D6" s="26" t="s">
        <v>191</v>
      </c>
      <c r="E6" s="26" t="s">
        <v>185</v>
      </c>
      <c r="F6" s="26">
        <v>70</v>
      </c>
      <c r="G6" s="26">
        <v>1150</v>
      </c>
      <c r="H6" s="26" t="s">
        <v>186</v>
      </c>
    </row>
    <row r="7" spans="3:19">
      <c r="C7" s="26">
        <v>1004</v>
      </c>
      <c r="D7" s="26" t="s">
        <v>192</v>
      </c>
      <c r="E7" s="26" t="s">
        <v>193</v>
      </c>
      <c r="F7" s="26">
        <v>90</v>
      </c>
      <c r="G7" s="26">
        <v>450</v>
      </c>
      <c r="H7" s="26" t="s">
        <v>194</v>
      </c>
      <c r="J7" s="39">
        <v>3</v>
      </c>
      <c r="K7" s="36" t="s">
        <v>195</v>
      </c>
      <c r="R7" s="39">
        <f>SUMIF(H3:H18,H4,F3:F18)</f>
        <v>320</v>
      </c>
      <c r="S7">
        <f>SUMIF(H3:H18,H4,F3:F18)</f>
        <v>320</v>
      </c>
    </row>
    <row r="8" spans="3:19">
      <c r="C8" s="26">
        <v>1005</v>
      </c>
      <c r="D8" s="26" t="s">
        <v>184</v>
      </c>
      <c r="E8" s="26" t="s">
        <v>188</v>
      </c>
      <c r="F8" s="26">
        <v>40</v>
      </c>
      <c r="G8" s="26">
        <v>850</v>
      </c>
      <c r="H8" s="26" t="s">
        <v>189</v>
      </c>
    </row>
    <row r="9" spans="3:19">
      <c r="C9" s="26">
        <v>1006</v>
      </c>
      <c r="D9" s="26" t="s">
        <v>191</v>
      </c>
      <c r="E9" s="26" t="s">
        <v>185</v>
      </c>
      <c r="F9" s="26">
        <v>65</v>
      </c>
      <c r="G9" s="26">
        <v>1250</v>
      </c>
      <c r="H9" s="26" t="s">
        <v>186</v>
      </c>
      <c r="J9" s="39">
        <v>4</v>
      </c>
      <c r="K9" s="36" t="s">
        <v>196</v>
      </c>
      <c r="R9" s="39">
        <f>SUMIF(E3:E18,E7,F3:F18)</f>
        <v>320</v>
      </c>
      <c r="S9">
        <f>SUMIF(E3:E18,E13,F3:F18)</f>
        <v>320</v>
      </c>
    </row>
    <row r="10" spans="3:19">
      <c r="C10" s="26">
        <v>1007</v>
      </c>
      <c r="D10" s="26" t="s">
        <v>187</v>
      </c>
      <c r="E10" s="26" t="s">
        <v>193</v>
      </c>
      <c r="F10" s="26">
        <v>100</v>
      </c>
      <c r="G10" s="26">
        <v>420</v>
      </c>
      <c r="H10" s="26" t="s">
        <v>194</v>
      </c>
    </row>
    <row r="11" spans="3:19">
      <c r="C11" s="26">
        <v>1008</v>
      </c>
      <c r="D11" s="26" t="s">
        <v>192</v>
      </c>
      <c r="E11" s="26" t="s">
        <v>188</v>
      </c>
      <c r="F11" s="26">
        <v>25</v>
      </c>
      <c r="G11" s="26">
        <v>780</v>
      </c>
      <c r="H11" s="26" t="s">
        <v>189</v>
      </c>
      <c r="J11" s="39">
        <v>5</v>
      </c>
      <c r="K11" s="36" t="s">
        <v>197</v>
      </c>
      <c r="R11" s="39">
        <f>SUMIF(D3:D18,D6,F3:F18)</f>
        <v>190</v>
      </c>
      <c r="S11">
        <f>SUMIF(D3:D18,D6,F3:F18)</f>
        <v>190</v>
      </c>
    </row>
    <row r="12" spans="3:19">
      <c r="C12" s="26">
        <v>1009</v>
      </c>
      <c r="D12" s="26" t="s">
        <v>184</v>
      </c>
      <c r="E12" s="26" t="s">
        <v>185</v>
      </c>
      <c r="F12" s="26">
        <v>80</v>
      </c>
      <c r="G12" s="26">
        <v>1100</v>
      </c>
      <c r="H12" s="26" t="s">
        <v>186</v>
      </c>
    </row>
    <row r="13" spans="3:19">
      <c r="C13" s="26">
        <v>1010</v>
      </c>
      <c r="D13" s="26" t="s">
        <v>187</v>
      </c>
      <c r="E13" s="26" t="s">
        <v>193</v>
      </c>
      <c r="F13" s="26">
        <v>60</v>
      </c>
      <c r="G13" s="26">
        <v>500</v>
      </c>
      <c r="H13" s="26" t="s">
        <v>194</v>
      </c>
      <c r="J13" s="41">
        <v>6</v>
      </c>
      <c r="K13" s="41" t="s">
        <v>198</v>
      </c>
      <c r="L13" s="41"/>
      <c r="M13" s="41"/>
      <c r="N13" s="41"/>
      <c r="O13" s="41"/>
      <c r="P13" s="41"/>
      <c r="Q13" s="41"/>
    </row>
    <row r="14" spans="3:19">
      <c r="C14" s="26">
        <v>1011</v>
      </c>
      <c r="D14" s="26" t="s">
        <v>191</v>
      </c>
      <c r="E14" s="26" t="s">
        <v>188</v>
      </c>
      <c r="F14" s="26">
        <v>35</v>
      </c>
      <c r="G14" s="26">
        <v>870</v>
      </c>
      <c r="H14" s="26" t="s">
        <v>189</v>
      </c>
      <c r="J14" s="41"/>
      <c r="K14" s="41"/>
      <c r="L14" s="41"/>
      <c r="M14" s="41"/>
      <c r="N14" s="41"/>
      <c r="O14" s="41"/>
      <c r="P14" s="41"/>
      <c r="Q14" s="41"/>
    </row>
    <row r="15" spans="3:19">
      <c r="C15" s="26">
        <v>1012</v>
      </c>
      <c r="D15" s="26" t="s">
        <v>192</v>
      </c>
      <c r="E15" s="26" t="s">
        <v>185</v>
      </c>
      <c r="F15" s="26">
        <v>55</v>
      </c>
      <c r="G15" s="26">
        <v>1180</v>
      </c>
      <c r="H15" s="26" t="s">
        <v>186</v>
      </c>
      <c r="J15" s="41">
        <v>7</v>
      </c>
      <c r="K15" s="41" t="s">
        <v>199</v>
      </c>
      <c r="L15" s="41"/>
      <c r="M15" s="41"/>
      <c r="N15" s="41"/>
      <c r="O15" s="41"/>
      <c r="P15" s="41"/>
      <c r="Q15" s="41"/>
    </row>
    <row r="16" spans="3:19">
      <c r="C16" s="26">
        <v>1013</v>
      </c>
      <c r="D16" s="26" t="s">
        <v>187</v>
      </c>
      <c r="E16" s="26" t="s">
        <v>188</v>
      </c>
      <c r="F16" s="26">
        <v>45</v>
      </c>
      <c r="G16" s="26">
        <v>820</v>
      </c>
      <c r="H16" s="26" t="s">
        <v>189</v>
      </c>
      <c r="J16" s="41"/>
      <c r="K16" s="41"/>
      <c r="L16" s="41"/>
      <c r="M16" s="41"/>
      <c r="N16" s="41"/>
      <c r="O16" s="41"/>
      <c r="P16" s="41"/>
      <c r="Q16" s="41"/>
    </row>
    <row r="17" spans="3:20">
      <c r="C17" s="26">
        <v>1014</v>
      </c>
      <c r="D17" s="26" t="s">
        <v>184</v>
      </c>
      <c r="E17" s="26" t="s">
        <v>193</v>
      </c>
      <c r="F17" s="26">
        <v>70</v>
      </c>
      <c r="G17" s="26">
        <v>470</v>
      </c>
      <c r="H17" s="26" t="s">
        <v>194</v>
      </c>
      <c r="J17" s="41">
        <v>8</v>
      </c>
      <c r="K17" s="41" t="s">
        <v>200</v>
      </c>
      <c r="L17" s="41"/>
      <c r="M17" s="41"/>
      <c r="N17" s="41"/>
      <c r="O17" s="41"/>
      <c r="P17" s="41"/>
      <c r="Q17" s="41"/>
    </row>
    <row r="18" spans="3:20">
      <c r="C18" s="26">
        <v>1015</v>
      </c>
      <c r="D18" s="26" t="s">
        <v>191</v>
      </c>
      <c r="E18" s="26" t="s">
        <v>188</v>
      </c>
      <c r="F18" s="26">
        <v>20</v>
      </c>
      <c r="G18" s="26">
        <v>860</v>
      </c>
      <c r="H18" s="26" t="s">
        <v>189</v>
      </c>
    </row>
    <row r="19" spans="3:20">
      <c r="J19" s="39">
        <v>9</v>
      </c>
      <c r="K19" s="36" t="s">
        <v>201</v>
      </c>
      <c r="R19" s="39">
        <f>SUMIF(H3:H18,H7,F3:F18)</f>
        <v>320</v>
      </c>
      <c r="S19">
        <f>SUMIF(H3:H18,H10,F3:F18)</f>
        <v>320</v>
      </c>
    </row>
    <row r="21" spans="3:20" ht="15.75" customHeight="1">
      <c r="J21" s="39">
        <v>10</v>
      </c>
      <c r="K21" s="36" t="s">
        <v>202</v>
      </c>
      <c r="R21" s="39">
        <f>SUMIF(E3:E18,E4,F3:F18)</f>
        <v>320</v>
      </c>
      <c r="S21">
        <f>SUMIF(E3:E18,E15,F3:F18)</f>
        <v>320</v>
      </c>
    </row>
    <row r="22" spans="3:20" ht="15.75" customHeight="1">
      <c r="H22" t="s">
        <v>335</v>
      </c>
    </row>
    <row r="23" spans="3:20" ht="15.75" customHeight="1">
      <c r="J23" s="41">
        <v>11</v>
      </c>
      <c r="K23" s="41" t="s">
        <v>203</v>
      </c>
      <c r="L23" s="41"/>
      <c r="M23" s="41"/>
      <c r="N23" s="41"/>
      <c r="O23" s="41"/>
      <c r="P23" s="41"/>
      <c r="Q23" s="41"/>
    </row>
    <row r="24" spans="3:20" ht="15.75" customHeight="1"/>
    <row r="25" spans="3:20" ht="15.75" customHeight="1">
      <c r="J25" s="39">
        <v>12</v>
      </c>
      <c r="K25" s="36" t="s">
        <v>204</v>
      </c>
      <c r="R25" s="39">
        <f>SUMIF(E3:E18,E17,F3:F18)</f>
        <v>320</v>
      </c>
      <c r="S25">
        <f>SUMIF(E3:E18,E10,F3:F18)</f>
        <v>320</v>
      </c>
    </row>
    <row r="26" spans="3:20" ht="15.75" customHeight="1">
      <c r="F26" t="s">
        <v>334</v>
      </c>
    </row>
    <row r="27" spans="3:20" ht="15.75" customHeight="1">
      <c r="J27" s="39">
        <v>13</v>
      </c>
      <c r="K27" s="36" t="s">
        <v>205</v>
      </c>
      <c r="S27" s="39">
        <f>SUMIF(G3:G18,"&gt;1000",F3:F18)</f>
        <v>320</v>
      </c>
      <c r="T27">
        <f>SUMIF(G3:G18,H22,F3:F18)</f>
        <v>320</v>
      </c>
    </row>
    <row r="28" spans="3:20" ht="15.75" customHeight="1"/>
    <row r="29" spans="3:20" ht="15.75" customHeight="1">
      <c r="J29" s="41">
        <v>14</v>
      </c>
      <c r="K29" s="41" t="s">
        <v>206</v>
      </c>
      <c r="L29" s="41"/>
      <c r="M29" s="41"/>
      <c r="N29" s="41"/>
      <c r="O29" s="41"/>
      <c r="P29" s="41"/>
    </row>
    <row r="30" spans="3:20" ht="15.75" customHeight="1"/>
    <row r="31" spans="3:20" ht="15.75" customHeight="1">
      <c r="J31" s="39">
        <v>15</v>
      </c>
      <c r="K31" s="36" t="s">
        <v>207</v>
      </c>
      <c r="S31">
        <f>SUM(F4:F18)</f>
        <v>835</v>
      </c>
    </row>
    <row r="32" spans="3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T1000"/>
  <sheetViews>
    <sheetView workbookViewId="0">
      <selection activeCell="T11" sqref="T11"/>
    </sheetView>
  </sheetViews>
  <sheetFormatPr defaultColWidth="14.42578125" defaultRowHeight="15" customHeight="1"/>
  <cols>
    <col min="1" max="26" width="8.7109375" customWidth="1"/>
  </cols>
  <sheetData>
    <row r="1" spans="2:20" ht="21">
      <c r="C1" s="34" t="s">
        <v>208</v>
      </c>
    </row>
    <row r="3" spans="2:20" ht="30">
      <c r="B3" s="25" t="s">
        <v>209</v>
      </c>
      <c r="C3" s="25" t="s">
        <v>210</v>
      </c>
      <c r="D3" s="25" t="s">
        <v>211</v>
      </c>
      <c r="E3" s="25" t="s">
        <v>212</v>
      </c>
      <c r="F3" s="25" t="s">
        <v>213</v>
      </c>
      <c r="G3" s="25" t="s">
        <v>182</v>
      </c>
      <c r="H3" s="42"/>
      <c r="I3" s="39">
        <v>1</v>
      </c>
      <c r="J3" s="64" t="s">
        <v>214</v>
      </c>
      <c r="K3" s="60"/>
      <c r="L3" s="60"/>
      <c r="M3" s="60"/>
      <c r="N3" s="60"/>
      <c r="O3" s="60"/>
      <c r="P3" s="60"/>
      <c r="Q3" s="60"/>
      <c r="R3">
        <f>SUMIFS(E3:E10,C3:C10,C4,D3:D10,D5)</f>
        <v>100</v>
      </c>
      <c r="T3" s="44"/>
    </row>
    <row r="4" spans="2:20" ht="30">
      <c r="B4" s="26" t="s">
        <v>215</v>
      </c>
      <c r="C4" s="26" t="s">
        <v>185</v>
      </c>
      <c r="D4" s="26" t="s">
        <v>216</v>
      </c>
      <c r="E4" s="26">
        <v>120</v>
      </c>
      <c r="F4" s="26">
        <v>1500</v>
      </c>
      <c r="G4" s="26" t="s">
        <v>217</v>
      </c>
      <c r="H4" s="45"/>
    </row>
    <row r="5" spans="2:20" ht="30">
      <c r="B5" s="26" t="s">
        <v>218</v>
      </c>
      <c r="C5" s="26" t="s">
        <v>188</v>
      </c>
      <c r="D5" s="26" t="s">
        <v>219</v>
      </c>
      <c r="E5" s="26">
        <v>80</v>
      </c>
      <c r="F5" s="26">
        <v>2200</v>
      </c>
      <c r="G5" s="26" t="s">
        <v>189</v>
      </c>
      <c r="H5" s="45"/>
      <c r="I5" s="39">
        <v>2</v>
      </c>
      <c r="J5" s="64" t="s">
        <v>220</v>
      </c>
      <c r="K5" s="60"/>
      <c r="L5" s="60"/>
      <c r="M5" s="60"/>
      <c r="N5" s="60"/>
      <c r="O5" s="60"/>
      <c r="P5" s="60"/>
      <c r="Q5" s="60"/>
      <c r="R5">
        <f>SUMIFS(E3:E10,G3:G10,G4,D3:D10,D4)</f>
        <v>120</v>
      </c>
      <c r="T5" s="44"/>
    </row>
    <row r="6" spans="2:20" ht="30">
      <c r="B6" s="26" t="s">
        <v>221</v>
      </c>
      <c r="C6" s="26" t="s">
        <v>222</v>
      </c>
      <c r="D6" s="26" t="s">
        <v>216</v>
      </c>
      <c r="E6" s="26">
        <v>200</v>
      </c>
      <c r="F6" s="26">
        <v>50</v>
      </c>
      <c r="G6" s="26" t="s">
        <v>223</v>
      </c>
      <c r="H6" s="45"/>
    </row>
    <row r="7" spans="2:20" ht="30">
      <c r="B7" s="26" t="s">
        <v>224</v>
      </c>
      <c r="C7" s="26" t="s">
        <v>185</v>
      </c>
      <c r="D7" s="26" t="s">
        <v>225</v>
      </c>
      <c r="E7" s="26">
        <v>60</v>
      </c>
      <c r="F7" s="26">
        <v>1400</v>
      </c>
      <c r="G7" s="26" t="s">
        <v>217</v>
      </c>
      <c r="H7" s="45"/>
      <c r="I7" s="39">
        <v>3</v>
      </c>
      <c r="J7" s="64" t="s">
        <v>226</v>
      </c>
      <c r="K7" s="60"/>
      <c r="L7" s="60"/>
      <c r="M7" s="60"/>
      <c r="N7" s="60"/>
      <c r="O7" s="60"/>
      <c r="P7" s="60"/>
      <c r="Q7" s="60"/>
      <c r="R7" s="60"/>
      <c r="S7" s="60"/>
      <c r="T7" s="44">
        <f>SUMIFS(E3:E10,D3:D10,D5,C3:C10,C5)</f>
        <v>80</v>
      </c>
    </row>
    <row r="8" spans="2:20" ht="30">
      <c r="B8" s="26" t="s">
        <v>227</v>
      </c>
      <c r="C8" s="26" t="s">
        <v>188</v>
      </c>
      <c r="D8" s="26" t="s">
        <v>216</v>
      </c>
      <c r="E8" s="26">
        <v>40</v>
      </c>
      <c r="F8" s="26">
        <v>2100</v>
      </c>
      <c r="G8" s="26" t="s">
        <v>189</v>
      </c>
      <c r="H8" s="45"/>
    </row>
    <row r="9" spans="2:20" ht="30">
      <c r="B9" s="26" t="s">
        <v>228</v>
      </c>
      <c r="C9" s="26" t="s">
        <v>222</v>
      </c>
      <c r="D9" s="26" t="s">
        <v>219</v>
      </c>
      <c r="E9" s="26">
        <v>150</v>
      </c>
      <c r="F9" s="26">
        <v>60</v>
      </c>
      <c r="G9" s="26" t="s">
        <v>223</v>
      </c>
      <c r="H9" s="45"/>
      <c r="I9" s="39">
        <v>4</v>
      </c>
      <c r="J9" s="64" t="s">
        <v>229</v>
      </c>
      <c r="K9" s="60"/>
      <c r="L9" s="60"/>
      <c r="M9" s="60"/>
      <c r="N9" s="60"/>
      <c r="O9" s="60"/>
      <c r="P9" s="60"/>
      <c r="Q9" s="60"/>
      <c r="R9" s="60"/>
      <c r="S9" s="60"/>
      <c r="T9" s="44">
        <f>SUMIFS(E3:E10,G3:G10,G6,D3:D10,D5)</f>
        <v>150</v>
      </c>
    </row>
    <row r="10" spans="2:20" ht="30">
      <c r="B10" s="26" t="s">
        <v>230</v>
      </c>
      <c r="C10" s="26" t="s">
        <v>185</v>
      </c>
      <c r="D10" s="26" t="s">
        <v>219</v>
      </c>
      <c r="E10" s="26">
        <v>100</v>
      </c>
      <c r="F10" s="26">
        <v>1600</v>
      </c>
      <c r="G10" s="26" t="s">
        <v>217</v>
      </c>
      <c r="H10" s="45"/>
    </row>
    <row r="11" spans="2:20">
      <c r="I11" s="39">
        <v>5</v>
      </c>
      <c r="J11" s="64" t="s">
        <v>231</v>
      </c>
      <c r="K11" s="60"/>
      <c r="L11" s="60"/>
      <c r="M11" s="60"/>
      <c r="N11" s="60"/>
      <c r="O11" s="60"/>
      <c r="P11" s="60"/>
      <c r="Q11" s="60"/>
      <c r="T11" s="44">
        <f>SUMIFS(E3:E10,C3:C10,C6,F3:F10,M13)</f>
        <v>350</v>
      </c>
    </row>
    <row r="13" spans="2:20" ht="15" customHeight="1">
      <c r="M13" t="s">
        <v>337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J3:Q3"/>
    <mergeCell ref="J5:Q5"/>
    <mergeCell ref="J7:S7"/>
    <mergeCell ref="J9:S9"/>
    <mergeCell ref="J11:Q1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O1000"/>
  <sheetViews>
    <sheetView workbookViewId="0">
      <selection activeCell="O7" sqref="O7"/>
    </sheetView>
  </sheetViews>
  <sheetFormatPr defaultColWidth="14.42578125" defaultRowHeight="15" customHeight="1"/>
  <cols>
    <col min="1" max="26" width="8.7109375" customWidth="1"/>
  </cols>
  <sheetData>
    <row r="1" spans="2:15" ht="21">
      <c r="C1" s="34" t="s">
        <v>208</v>
      </c>
    </row>
    <row r="3" spans="2:15" ht="30">
      <c r="B3" s="25" t="s">
        <v>209</v>
      </c>
      <c r="C3" s="25" t="s">
        <v>210</v>
      </c>
      <c r="D3" s="25" t="s">
        <v>211</v>
      </c>
      <c r="E3" s="25" t="s">
        <v>212</v>
      </c>
      <c r="F3" s="25" t="s">
        <v>213</v>
      </c>
      <c r="G3" s="25" t="s">
        <v>182</v>
      </c>
      <c r="I3" s="59" t="s">
        <v>232</v>
      </c>
      <c r="J3" s="60"/>
      <c r="K3" s="60"/>
      <c r="L3" s="60"/>
      <c r="M3" s="60"/>
      <c r="N3" s="60"/>
      <c r="O3">
        <f>SUMIF(C3:C10,C4,E3:E10)</f>
        <v>280</v>
      </c>
    </row>
    <row r="4" spans="2:15" ht="30">
      <c r="B4" s="26" t="s">
        <v>215</v>
      </c>
      <c r="C4" s="26" t="s">
        <v>185</v>
      </c>
      <c r="D4" s="26" t="s">
        <v>216</v>
      </c>
      <c r="E4" s="26">
        <v>120</v>
      </c>
      <c r="F4" s="26">
        <v>1500</v>
      </c>
      <c r="G4" s="26" t="s">
        <v>217</v>
      </c>
    </row>
    <row r="5" spans="2:15" ht="30">
      <c r="B5" s="26" t="s">
        <v>218</v>
      </c>
      <c r="C5" s="26" t="s">
        <v>188</v>
      </c>
      <c r="D5" s="26" t="s">
        <v>219</v>
      </c>
      <c r="E5" s="26">
        <v>80</v>
      </c>
      <c r="F5" s="26">
        <v>2200</v>
      </c>
      <c r="G5" s="26" t="s">
        <v>189</v>
      </c>
      <c r="I5" s="59" t="s">
        <v>233</v>
      </c>
      <c r="J5" s="60"/>
      <c r="K5" s="60"/>
      <c r="L5" s="60"/>
      <c r="M5" s="60"/>
      <c r="N5" s="60"/>
      <c r="O5">
        <f>SUMIF(D3:D10,D4,E3:E10)</f>
        <v>360</v>
      </c>
    </row>
    <row r="6" spans="2:15" ht="30">
      <c r="B6" s="26" t="s">
        <v>221</v>
      </c>
      <c r="C6" s="26" t="s">
        <v>222</v>
      </c>
      <c r="D6" s="26" t="s">
        <v>216</v>
      </c>
      <c r="E6" s="26">
        <v>200</v>
      </c>
      <c r="F6" s="26">
        <v>50</v>
      </c>
      <c r="G6" s="26" t="s">
        <v>223</v>
      </c>
    </row>
    <row r="7" spans="2:15" ht="30">
      <c r="B7" s="26" t="s">
        <v>224</v>
      </c>
      <c r="C7" s="26" t="s">
        <v>185</v>
      </c>
      <c r="D7" s="26" t="s">
        <v>225</v>
      </c>
      <c r="E7" s="26">
        <v>60</v>
      </c>
      <c r="F7" s="26">
        <v>1400</v>
      </c>
      <c r="G7" s="26" t="s">
        <v>217</v>
      </c>
      <c r="I7" s="59" t="s">
        <v>234</v>
      </c>
      <c r="J7" s="60"/>
      <c r="K7" s="60"/>
      <c r="L7" s="60"/>
      <c r="M7" s="60"/>
      <c r="N7" s="60"/>
      <c r="O7">
        <f>SUMIF(G3:G10,G6,E3:E10)</f>
        <v>350</v>
      </c>
    </row>
    <row r="8" spans="2:15" ht="30">
      <c r="B8" s="26" t="s">
        <v>227</v>
      </c>
      <c r="C8" s="26" t="s">
        <v>188</v>
      </c>
      <c r="D8" s="26" t="s">
        <v>216</v>
      </c>
      <c r="E8" s="26">
        <v>40</v>
      </c>
      <c r="F8" s="26">
        <v>2100</v>
      </c>
      <c r="G8" s="26" t="s">
        <v>189</v>
      </c>
    </row>
    <row r="9" spans="2:15" ht="30">
      <c r="B9" s="26" t="s">
        <v>228</v>
      </c>
      <c r="C9" s="26" t="s">
        <v>222</v>
      </c>
      <c r="D9" s="26" t="s">
        <v>219</v>
      </c>
      <c r="E9" s="26">
        <v>150</v>
      </c>
      <c r="F9" s="26">
        <v>60</v>
      </c>
      <c r="G9" s="26" t="s">
        <v>223</v>
      </c>
      <c r="I9" s="59" t="s">
        <v>235</v>
      </c>
      <c r="J9" s="60"/>
      <c r="K9" s="60"/>
      <c r="L9" s="60"/>
      <c r="M9" s="60"/>
      <c r="N9" s="60"/>
      <c r="O9">
        <f>SUMIF(C3:C10,C8,E3:E10)</f>
        <v>120</v>
      </c>
    </row>
    <row r="10" spans="2:15" ht="30">
      <c r="B10" s="26" t="s">
        <v>230</v>
      </c>
      <c r="C10" s="26" t="s">
        <v>185</v>
      </c>
      <c r="D10" s="26" t="s">
        <v>219</v>
      </c>
      <c r="E10" s="26">
        <v>100</v>
      </c>
      <c r="F10" s="26">
        <v>1600</v>
      </c>
      <c r="G10" s="26" t="s">
        <v>217</v>
      </c>
    </row>
    <row r="11" spans="2:15">
      <c r="I11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I3:N3"/>
    <mergeCell ref="I5:N5"/>
    <mergeCell ref="I7:N7"/>
    <mergeCell ref="I9:N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1:V1000"/>
  <sheetViews>
    <sheetView zoomScale="78" workbookViewId="0">
      <selection activeCell="V21" sqref="V21"/>
    </sheetView>
  </sheetViews>
  <sheetFormatPr defaultColWidth="14.42578125" defaultRowHeight="15" customHeight="1"/>
  <cols>
    <col min="1" max="2" width="8.7109375" customWidth="1"/>
    <col min="3" max="7" width="11" customWidth="1"/>
    <col min="8" max="9" width="12.85546875" customWidth="1"/>
    <col min="10" max="10" width="3.85546875" customWidth="1"/>
    <col min="11" max="20" width="8.7109375" customWidth="1"/>
    <col min="21" max="21" width="11.28515625" customWidth="1"/>
    <col min="22" max="26" width="8.7109375" customWidth="1"/>
  </cols>
  <sheetData>
    <row r="1" spans="3:22" ht="21">
      <c r="C1" s="40" t="s">
        <v>236</v>
      </c>
    </row>
    <row r="3" spans="3:22" ht="30">
      <c r="C3" s="25" t="s">
        <v>178</v>
      </c>
      <c r="D3" s="25" t="s">
        <v>179</v>
      </c>
      <c r="E3" s="25" t="s">
        <v>180</v>
      </c>
      <c r="F3" s="25" t="s">
        <v>102</v>
      </c>
      <c r="G3" s="25" t="s">
        <v>181</v>
      </c>
      <c r="H3" s="25" t="s">
        <v>182</v>
      </c>
      <c r="I3" s="46"/>
      <c r="J3" s="39">
        <v>1</v>
      </c>
      <c r="K3" s="43" t="s">
        <v>237</v>
      </c>
      <c r="L3" s="36"/>
      <c r="U3" t="s">
        <v>191</v>
      </c>
      <c r="V3">
        <f>SUMIFS(F3:F18,E3:E18,E12,D3:D18,U3)</f>
        <v>135</v>
      </c>
    </row>
    <row r="4" spans="3:22">
      <c r="C4" s="26">
        <v>1001</v>
      </c>
      <c r="D4" s="26" t="s">
        <v>184</v>
      </c>
      <c r="E4" s="26" t="s">
        <v>185</v>
      </c>
      <c r="F4" s="26">
        <v>50</v>
      </c>
      <c r="G4" s="26">
        <v>1200</v>
      </c>
      <c r="H4" s="26" t="s">
        <v>186</v>
      </c>
      <c r="I4" s="45"/>
    </row>
    <row r="5" spans="3:22">
      <c r="C5" s="26">
        <v>1002</v>
      </c>
      <c r="D5" s="26" t="s">
        <v>187</v>
      </c>
      <c r="E5" s="26" t="s">
        <v>188</v>
      </c>
      <c r="F5" s="26">
        <v>30</v>
      </c>
      <c r="G5" s="26">
        <v>800</v>
      </c>
      <c r="H5" s="26" t="s">
        <v>189</v>
      </c>
      <c r="I5" s="47"/>
      <c r="J5" s="39">
        <v>2</v>
      </c>
      <c r="K5" s="43" t="s">
        <v>238</v>
      </c>
      <c r="L5" s="36"/>
      <c r="U5" t="s">
        <v>338</v>
      </c>
      <c r="V5">
        <f>SUMIFS(F3:F18,E3:E18,E10,H3:H18,H17)</f>
        <v>320</v>
      </c>
    </row>
    <row r="6" spans="3:22">
      <c r="C6" s="26">
        <v>1003</v>
      </c>
      <c r="D6" s="26" t="s">
        <v>191</v>
      </c>
      <c r="E6" s="26" t="s">
        <v>185</v>
      </c>
      <c r="F6" s="26">
        <v>70</v>
      </c>
      <c r="G6" s="26">
        <v>1150</v>
      </c>
      <c r="H6" s="26" t="s">
        <v>186</v>
      </c>
      <c r="I6" s="45"/>
    </row>
    <row r="7" spans="3:22">
      <c r="C7" s="26">
        <v>1004</v>
      </c>
      <c r="D7" s="26" t="s">
        <v>192</v>
      </c>
      <c r="E7" s="26" t="s">
        <v>193</v>
      </c>
      <c r="F7" s="26">
        <v>90</v>
      </c>
      <c r="G7" s="26">
        <v>450</v>
      </c>
      <c r="H7" s="26" t="s">
        <v>194</v>
      </c>
      <c r="I7" s="46"/>
      <c r="J7" s="39">
        <v>3</v>
      </c>
      <c r="K7" s="43" t="s">
        <v>239</v>
      </c>
      <c r="L7" s="36"/>
      <c r="V7">
        <f>SUMIFS(F3:F18,E3:E18,E8,D3:D18,D13)</f>
        <v>75</v>
      </c>
    </row>
    <row r="8" spans="3:22">
      <c r="C8" s="26">
        <v>1005</v>
      </c>
      <c r="D8" s="26" t="s">
        <v>184</v>
      </c>
      <c r="E8" s="26" t="s">
        <v>188</v>
      </c>
      <c r="F8" s="26">
        <v>40</v>
      </c>
      <c r="G8" s="26">
        <v>850</v>
      </c>
      <c r="H8" s="26" t="s">
        <v>189</v>
      </c>
      <c r="I8" s="45"/>
    </row>
    <row r="9" spans="3:22">
      <c r="C9" s="26">
        <v>1006</v>
      </c>
      <c r="D9" s="26" t="s">
        <v>191</v>
      </c>
      <c r="E9" s="26" t="s">
        <v>185</v>
      </c>
      <c r="F9" s="26">
        <v>65</v>
      </c>
      <c r="G9" s="26">
        <v>1250</v>
      </c>
      <c r="H9" s="26" t="s">
        <v>186</v>
      </c>
      <c r="I9" s="46"/>
      <c r="J9" s="39">
        <v>4</v>
      </c>
      <c r="K9" s="43" t="s">
        <v>240</v>
      </c>
      <c r="L9" s="36"/>
      <c r="V9">
        <f>SUMIFS(F3:F18,G3:G18,H22,H3:H18,H15)</f>
        <v>320</v>
      </c>
    </row>
    <row r="10" spans="3:22">
      <c r="C10" s="26">
        <v>1007</v>
      </c>
      <c r="D10" s="26" t="s">
        <v>187</v>
      </c>
      <c r="E10" s="26" t="s">
        <v>193</v>
      </c>
      <c r="F10" s="26">
        <v>100</v>
      </c>
      <c r="G10" s="26">
        <v>420</v>
      </c>
      <c r="H10" s="26" t="s">
        <v>194</v>
      </c>
      <c r="I10" s="45"/>
    </row>
    <row r="11" spans="3:22">
      <c r="C11" s="26">
        <v>1008</v>
      </c>
      <c r="D11" s="26" t="s">
        <v>192</v>
      </c>
      <c r="E11" s="26" t="s">
        <v>188</v>
      </c>
      <c r="F11" s="26">
        <v>25</v>
      </c>
      <c r="G11" s="26">
        <v>780</v>
      </c>
      <c r="H11" s="26" t="s">
        <v>189</v>
      </c>
      <c r="I11" s="46"/>
      <c r="J11" s="39">
        <v>5</v>
      </c>
      <c r="K11" s="43" t="s">
        <v>241</v>
      </c>
      <c r="L11" s="36"/>
      <c r="V11">
        <f>SUMIFS(F3:F18,E3:E18,E9,D3:D18,N24)</f>
        <v>265</v>
      </c>
    </row>
    <row r="12" spans="3:22">
      <c r="C12" s="26">
        <v>1009</v>
      </c>
      <c r="D12" s="26" t="s">
        <v>184</v>
      </c>
      <c r="E12" s="26" t="s">
        <v>185</v>
      </c>
      <c r="F12" s="26">
        <v>80</v>
      </c>
      <c r="G12" s="26">
        <v>1100</v>
      </c>
      <c r="H12" s="26" t="s">
        <v>186</v>
      </c>
      <c r="I12" s="45"/>
    </row>
    <row r="13" spans="3:22">
      <c r="C13" s="26">
        <v>1010</v>
      </c>
      <c r="D13" s="26" t="s">
        <v>187</v>
      </c>
      <c r="E13" s="26" t="s">
        <v>193</v>
      </c>
      <c r="F13" s="26">
        <v>60</v>
      </c>
      <c r="G13" s="26">
        <v>500</v>
      </c>
      <c r="H13" s="26" t="s">
        <v>194</v>
      </c>
      <c r="I13" s="46"/>
      <c r="J13" s="39">
        <v>6</v>
      </c>
      <c r="K13" s="43" t="s">
        <v>242</v>
      </c>
      <c r="L13" s="36"/>
      <c r="V13">
        <f>SUMIFS(F3:F18,D3:D18,D8,H3:H18,O24)</f>
        <v>200</v>
      </c>
    </row>
    <row r="14" spans="3:22">
      <c r="C14" s="26">
        <v>1011</v>
      </c>
      <c r="D14" s="26" t="s">
        <v>191</v>
      </c>
      <c r="E14" s="26" t="s">
        <v>188</v>
      </c>
      <c r="F14" s="26">
        <v>35</v>
      </c>
      <c r="G14" s="26">
        <v>870</v>
      </c>
      <c r="H14" s="26" t="s">
        <v>189</v>
      </c>
      <c r="I14" s="45"/>
    </row>
    <row r="15" spans="3:22">
      <c r="C15" s="26">
        <v>1012</v>
      </c>
      <c r="D15" s="26" t="s">
        <v>192</v>
      </c>
      <c r="E15" s="26" t="s">
        <v>185</v>
      </c>
      <c r="F15" s="26">
        <v>55</v>
      </c>
      <c r="G15" s="26">
        <v>1180</v>
      </c>
      <c r="H15" s="26" t="s">
        <v>186</v>
      </c>
      <c r="I15" s="46"/>
      <c r="J15" s="39">
        <v>7</v>
      </c>
      <c r="K15" s="43" t="s">
        <v>243</v>
      </c>
      <c r="L15" s="36"/>
      <c r="V15">
        <f>SUMIFS(F3:F18,D3:D18,D14,G3:G18,L24)</f>
        <v>135</v>
      </c>
    </row>
    <row r="16" spans="3:22">
      <c r="C16" s="26">
        <v>1013</v>
      </c>
      <c r="D16" s="26" t="s">
        <v>187</v>
      </c>
      <c r="E16" s="26" t="s">
        <v>188</v>
      </c>
      <c r="F16" s="26">
        <v>45</v>
      </c>
      <c r="G16" s="26">
        <v>820</v>
      </c>
      <c r="H16" s="26" t="s">
        <v>189</v>
      </c>
      <c r="I16" s="45"/>
    </row>
    <row r="17" spans="3:22">
      <c r="C17" s="26">
        <v>1014</v>
      </c>
      <c r="D17" s="26" t="s">
        <v>184</v>
      </c>
      <c r="E17" s="26" t="s">
        <v>193</v>
      </c>
      <c r="F17" s="26">
        <v>70</v>
      </c>
      <c r="G17" s="26">
        <v>470</v>
      </c>
      <c r="H17" s="26" t="s">
        <v>194</v>
      </c>
      <c r="I17" s="46"/>
      <c r="J17" s="39">
        <v>8</v>
      </c>
      <c r="K17" s="43" t="s">
        <v>244</v>
      </c>
      <c r="L17" s="36"/>
      <c r="V17">
        <f>SUMIFS(F3:F18,E3:E18,E5,D3:D18,D11)+SUMIFS(F3:F18,E3:E18,E5,D3:D18,D10)</f>
        <v>100</v>
      </c>
    </row>
    <row r="18" spans="3:22">
      <c r="C18" s="26">
        <v>1015</v>
      </c>
      <c r="D18" s="26" t="s">
        <v>191</v>
      </c>
      <c r="E18" s="26" t="s">
        <v>188</v>
      </c>
      <c r="F18" s="26">
        <v>20</v>
      </c>
      <c r="G18" s="26">
        <v>860</v>
      </c>
      <c r="H18" s="26" t="s">
        <v>189</v>
      </c>
      <c r="I18" s="45"/>
    </row>
    <row r="19" spans="3:22">
      <c r="I19" s="46"/>
      <c r="J19" s="39">
        <v>9</v>
      </c>
      <c r="K19" s="43" t="s">
        <v>245</v>
      </c>
      <c r="L19" s="36"/>
      <c r="V19">
        <f>SUMIFS(F3:F18,E3:E18,E10,G3:G18,M24)</f>
        <v>260</v>
      </c>
    </row>
    <row r="21" spans="3:22" ht="15.75" customHeight="1">
      <c r="I21" s="46"/>
      <c r="J21" s="39">
        <v>10</v>
      </c>
      <c r="K21" s="43" t="s">
        <v>246</v>
      </c>
      <c r="L21" s="36"/>
      <c r="V21">
        <f>SUMIFS(F3:F18,E3:E18,E15,D3:D18,D17)+SUMIFS(F3:F18,E3:E18,E15,D3:D18,D14)</f>
        <v>265</v>
      </c>
    </row>
    <row r="22" spans="3:22" ht="15.75" customHeight="1">
      <c r="H22" t="s">
        <v>335</v>
      </c>
    </row>
    <row r="23" spans="3:22" ht="15.75" customHeight="1">
      <c r="L23" s="36"/>
    </row>
    <row r="24" spans="3:22" ht="15.75" customHeight="1">
      <c r="L24" t="s">
        <v>335</v>
      </c>
      <c r="M24" t="s">
        <v>339</v>
      </c>
      <c r="N24" t="s">
        <v>340</v>
      </c>
      <c r="O24" t="s">
        <v>341</v>
      </c>
    </row>
    <row r="25" spans="3:22" ht="15.75" customHeight="1">
      <c r="L25" s="36"/>
    </row>
    <row r="26" spans="3:22" ht="15.75" customHeight="1"/>
    <row r="27" spans="3:22" ht="15.75" customHeight="1">
      <c r="L27" s="36"/>
    </row>
    <row r="28" spans="3:22" ht="15.75" customHeight="1"/>
    <row r="29" spans="3:22" ht="15.75" customHeight="1">
      <c r="L29" s="36"/>
    </row>
    <row r="30" spans="3:22" ht="15.75" customHeight="1"/>
    <row r="31" spans="3:22" ht="15.75" customHeight="1">
      <c r="L31" s="36"/>
    </row>
    <row r="32" spans="3:2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1:A1000"/>
  <sheetViews>
    <sheetView showGridLines="0"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P1000"/>
  <sheetViews>
    <sheetView topLeftCell="A3" workbookViewId="0">
      <selection activeCell="P13" sqref="P13"/>
    </sheetView>
  </sheetViews>
  <sheetFormatPr defaultColWidth="14.42578125" defaultRowHeight="15" customHeight="1"/>
  <cols>
    <col min="1" max="1" width="8.7109375" customWidth="1"/>
    <col min="2" max="3" width="12.42578125" customWidth="1"/>
    <col min="4" max="4" width="14.28515625" customWidth="1"/>
    <col min="5" max="6" width="12.42578125" customWidth="1"/>
    <col min="7" max="26" width="8.7109375" customWidth="1"/>
  </cols>
  <sheetData>
    <row r="1" spans="2:16" ht="23.25">
      <c r="B1" s="65" t="s">
        <v>247</v>
      </c>
      <c r="C1" s="60"/>
      <c r="D1" s="60"/>
      <c r="E1" s="36" t="s">
        <v>248</v>
      </c>
    </row>
    <row r="3" spans="2:16" ht="30" customHeight="1">
      <c r="B3" s="42" t="s">
        <v>249</v>
      </c>
      <c r="C3" s="42" t="s">
        <v>250</v>
      </c>
      <c r="D3" s="42" t="s">
        <v>251</v>
      </c>
      <c r="E3" s="42" t="s">
        <v>252</v>
      </c>
      <c r="F3" s="42" t="s">
        <v>182</v>
      </c>
      <c r="H3" s="48" t="s">
        <v>253</v>
      </c>
    </row>
    <row r="4" spans="2:16">
      <c r="B4" s="45" t="s">
        <v>254</v>
      </c>
      <c r="C4" s="45" t="s">
        <v>255</v>
      </c>
      <c r="D4" s="45" t="s">
        <v>185</v>
      </c>
      <c r="E4" s="45" t="s">
        <v>256</v>
      </c>
      <c r="F4" s="45" t="s">
        <v>257</v>
      </c>
      <c r="H4" s="49" t="s">
        <v>258</v>
      </c>
      <c r="O4">
        <f>COUNTIF(E3:E13,E4)</f>
        <v>6</v>
      </c>
    </row>
    <row r="5" spans="2:16" ht="30" customHeight="1">
      <c r="B5" s="45" t="s">
        <v>259</v>
      </c>
      <c r="C5" s="45" t="s">
        <v>260</v>
      </c>
      <c r="D5" s="45" t="s">
        <v>222</v>
      </c>
      <c r="E5" s="45" t="s">
        <v>261</v>
      </c>
      <c r="F5" s="45" t="s">
        <v>262</v>
      </c>
      <c r="H5" s="38" t="s">
        <v>263</v>
      </c>
    </row>
    <row r="6" spans="2:16" ht="30">
      <c r="B6" s="45" t="s">
        <v>264</v>
      </c>
      <c r="C6" s="45" t="s">
        <v>265</v>
      </c>
      <c r="D6" s="45" t="s">
        <v>188</v>
      </c>
      <c r="E6" s="45" t="s">
        <v>256</v>
      </c>
      <c r="F6" s="45" t="s">
        <v>189</v>
      </c>
      <c r="H6" s="49" t="s">
        <v>266</v>
      </c>
      <c r="O6">
        <f>COUNTIF(C3:C13,C13)</f>
        <v>3</v>
      </c>
    </row>
    <row r="7" spans="2:16" ht="30" customHeight="1">
      <c r="B7" s="45" t="s">
        <v>267</v>
      </c>
      <c r="C7" s="45" t="s">
        <v>255</v>
      </c>
      <c r="D7" s="45" t="s">
        <v>185</v>
      </c>
      <c r="E7" s="45" t="s">
        <v>268</v>
      </c>
      <c r="F7" s="45" t="s">
        <v>257</v>
      </c>
      <c r="H7" s="49" t="s">
        <v>269</v>
      </c>
      <c r="O7">
        <f>COUNTIF(D3:D13,D13)</f>
        <v>4</v>
      </c>
    </row>
    <row r="8" spans="2:16" ht="30" customHeight="1">
      <c r="B8" s="45" t="s">
        <v>270</v>
      </c>
      <c r="C8" s="45" t="s">
        <v>260</v>
      </c>
      <c r="D8" s="45" t="s">
        <v>222</v>
      </c>
      <c r="E8" s="45" t="s">
        <v>256</v>
      </c>
      <c r="F8" s="45" t="s">
        <v>262</v>
      </c>
    </row>
    <row r="9" spans="2:16" ht="30">
      <c r="B9" s="45" t="s">
        <v>271</v>
      </c>
      <c r="C9" s="45" t="s">
        <v>272</v>
      </c>
      <c r="D9" s="45" t="s">
        <v>188</v>
      </c>
      <c r="E9" s="45" t="s">
        <v>261</v>
      </c>
      <c r="F9" s="45" t="s">
        <v>189</v>
      </c>
      <c r="H9" s="48" t="s">
        <v>273</v>
      </c>
    </row>
    <row r="10" spans="2:16" ht="30" customHeight="1">
      <c r="B10" s="45" t="s">
        <v>274</v>
      </c>
      <c r="C10" s="45" t="s">
        <v>255</v>
      </c>
      <c r="D10" s="45" t="s">
        <v>188</v>
      </c>
      <c r="E10" s="45" t="s">
        <v>256</v>
      </c>
      <c r="F10" s="45" t="s">
        <v>275</v>
      </c>
      <c r="H10" s="49" t="s">
        <v>276</v>
      </c>
      <c r="O10">
        <f>COUNTIFS(E3:E13,E11,C3:C13,C7)</f>
        <v>2</v>
      </c>
    </row>
    <row r="11" spans="2:16">
      <c r="B11" s="45" t="s">
        <v>277</v>
      </c>
      <c r="C11" s="45" t="s">
        <v>265</v>
      </c>
      <c r="D11" s="45" t="s">
        <v>185</v>
      </c>
      <c r="E11" s="45" t="s">
        <v>256</v>
      </c>
      <c r="F11" s="45" t="s">
        <v>257</v>
      </c>
      <c r="H11" s="38" t="s">
        <v>278</v>
      </c>
    </row>
    <row r="12" spans="2:16" ht="30" customHeight="1">
      <c r="B12" s="45" t="s">
        <v>279</v>
      </c>
      <c r="C12" s="45" t="s">
        <v>272</v>
      </c>
      <c r="D12" s="45" t="s">
        <v>222</v>
      </c>
      <c r="E12" s="45" t="s">
        <v>268</v>
      </c>
      <c r="F12" s="45" t="s">
        <v>262</v>
      </c>
      <c r="H12" s="49" t="s">
        <v>280</v>
      </c>
      <c r="P12">
        <f>COUNTIFS(D3:D13,D12,F3:F13,F12)</f>
        <v>3</v>
      </c>
    </row>
    <row r="13" spans="2:16" ht="30" customHeight="1">
      <c r="B13" s="45" t="s">
        <v>281</v>
      </c>
      <c r="C13" s="45" t="s">
        <v>260</v>
      </c>
      <c r="D13" s="45" t="s">
        <v>185</v>
      </c>
      <c r="E13" s="45" t="s">
        <v>256</v>
      </c>
      <c r="F13" s="45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D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1000"/>
  <sheetViews>
    <sheetView zoomScale="82" workbookViewId="0">
      <selection activeCell="Q19" sqref="Q19"/>
    </sheetView>
  </sheetViews>
  <sheetFormatPr defaultColWidth="14.42578125" defaultRowHeight="15" customHeight="1"/>
  <cols>
    <col min="1" max="3" width="8.7109375" customWidth="1"/>
    <col min="4" max="4" width="13.140625" customWidth="1"/>
    <col min="5" max="26" width="8.7109375" customWidth="1"/>
  </cols>
  <sheetData>
    <row r="1" spans="2:17" ht="26.25">
      <c r="B1" s="37" t="s">
        <v>282</v>
      </c>
      <c r="H1" s="43" t="s">
        <v>283</v>
      </c>
    </row>
    <row r="3" spans="2:17" ht="30">
      <c r="B3" s="42" t="s">
        <v>284</v>
      </c>
      <c r="C3" s="42" t="s">
        <v>285</v>
      </c>
      <c r="D3" s="42" t="s">
        <v>211</v>
      </c>
      <c r="E3" s="42" t="s">
        <v>252</v>
      </c>
      <c r="F3" s="42" t="s">
        <v>286</v>
      </c>
      <c r="G3" s="42" t="s">
        <v>287</v>
      </c>
      <c r="H3" s="42" t="s">
        <v>288</v>
      </c>
      <c r="J3" s="48" t="s">
        <v>289</v>
      </c>
      <c r="Q3" s="48" t="s">
        <v>290</v>
      </c>
    </row>
    <row r="4" spans="2:17">
      <c r="B4" s="45" t="s">
        <v>291</v>
      </c>
      <c r="C4" s="45" t="s">
        <v>292</v>
      </c>
      <c r="D4" s="45" t="s">
        <v>293</v>
      </c>
      <c r="E4" s="45" t="s">
        <v>294</v>
      </c>
      <c r="F4" s="45" t="s">
        <v>295</v>
      </c>
      <c r="G4" s="45" t="s">
        <v>296</v>
      </c>
      <c r="H4" s="45" t="s">
        <v>297</v>
      </c>
      <c r="J4" s="38"/>
      <c r="Q4" s="38"/>
    </row>
    <row r="5" spans="2:17" ht="30">
      <c r="B5" s="45" t="s">
        <v>298</v>
      </c>
      <c r="C5" s="45" t="s">
        <v>299</v>
      </c>
      <c r="D5" s="45" t="s">
        <v>300</v>
      </c>
      <c r="E5" s="45" t="s">
        <v>301</v>
      </c>
      <c r="F5" s="45" t="s">
        <v>302</v>
      </c>
      <c r="G5" s="45" t="s">
        <v>303</v>
      </c>
      <c r="H5" s="45" t="s">
        <v>304</v>
      </c>
      <c r="J5" s="49" t="s">
        <v>305</v>
      </c>
      <c r="Q5" s="49" t="s">
        <v>306</v>
      </c>
    </row>
    <row r="6" spans="2:17">
      <c r="B6" s="45" t="s">
        <v>307</v>
      </c>
      <c r="C6" s="45" t="s">
        <v>308</v>
      </c>
      <c r="D6" s="45" t="s">
        <v>293</v>
      </c>
      <c r="E6" s="45" t="s">
        <v>294</v>
      </c>
      <c r="F6" s="45" t="s">
        <v>302</v>
      </c>
      <c r="G6" s="45" t="s">
        <v>303</v>
      </c>
      <c r="H6" s="45" t="s">
        <v>309</v>
      </c>
      <c r="J6" s="38">
        <f>COUNTIF(E3:E13,E9)</f>
        <v>6</v>
      </c>
      <c r="Q6" s="38">
        <f>COUNTIFS(E3:E13,E11,C3:C13,C9,D3:D13,D6)</f>
        <v>3</v>
      </c>
    </row>
    <row r="7" spans="2:17">
      <c r="B7" s="45" t="s">
        <v>310</v>
      </c>
      <c r="C7" s="45" t="s">
        <v>292</v>
      </c>
      <c r="D7" s="45" t="s">
        <v>311</v>
      </c>
      <c r="E7" s="45" t="s">
        <v>294</v>
      </c>
      <c r="F7" s="45" t="s">
        <v>295</v>
      </c>
      <c r="G7" s="45" t="s">
        <v>296</v>
      </c>
      <c r="H7" s="45" t="s">
        <v>297</v>
      </c>
      <c r="J7" s="49" t="s">
        <v>312</v>
      </c>
      <c r="Q7" s="49" t="s">
        <v>313</v>
      </c>
    </row>
    <row r="8" spans="2:17">
      <c r="B8" s="45" t="s">
        <v>314</v>
      </c>
      <c r="C8" s="45" t="s">
        <v>299</v>
      </c>
      <c r="D8" s="45" t="s">
        <v>300</v>
      </c>
      <c r="E8" s="45" t="s">
        <v>315</v>
      </c>
      <c r="F8" s="45" t="s">
        <v>316</v>
      </c>
      <c r="G8" s="45" t="s">
        <v>303</v>
      </c>
      <c r="H8" s="45" t="s">
        <v>317</v>
      </c>
      <c r="J8" s="38">
        <f>COUNTIF(D3:D13,D6)</f>
        <v>4</v>
      </c>
      <c r="Q8" s="38">
        <f>COUNTIFS(C3:C13,C10,D3:D13,D13,E3:E13,E10)</f>
        <v>1</v>
      </c>
    </row>
    <row r="9" spans="2:17">
      <c r="B9" s="45" t="s">
        <v>318</v>
      </c>
      <c r="C9" s="45" t="s">
        <v>292</v>
      </c>
      <c r="D9" s="45" t="s">
        <v>293</v>
      </c>
      <c r="E9" s="45" t="s">
        <v>294</v>
      </c>
      <c r="F9" s="45" t="s">
        <v>295</v>
      </c>
      <c r="G9" s="45" t="s">
        <v>296</v>
      </c>
      <c r="H9" s="45" t="s">
        <v>297</v>
      </c>
      <c r="J9" s="49" t="s">
        <v>319</v>
      </c>
      <c r="Q9" s="49" t="s">
        <v>320</v>
      </c>
    </row>
    <row r="10" spans="2:17" ht="30">
      <c r="B10" s="45" t="s">
        <v>321</v>
      </c>
      <c r="C10" s="45" t="s">
        <v>308</v>
      </c>
      <c r="D10" s="45" t="s">
        <v>311</v>
      </c>
      <c r="E10" s="45" t="s">
        <v>301</v>
      </c>
      <c r="F10" s="45" t="s">
        <v>302</v>
      </c>
      <c r="G10" s="45" t="s">
        <v>296</v>
      </c>
      <c r="H10" s="45" t="s">
        <v>309</v>
      </c>
      <c r="J10" s="38">
        <f>COUNTIF(C3:C13,C12)</f>
        <v>4</v>
      </c>
      <c r="Q10" s="38">
        <f>COUNTIFS(H3:H13,H9,G3:G13,G9)</f>
        <v>3</v>
      </c>
    </row>
    <row r="11" spans="2:17">
      <c r="B11" s="45" t="s">
        <v>322</v>
      </c>
      <c r="C11" s="45" t="s">
        <v>299</v>
      </c>
      <c r="D11" s="45" t="s">
        <v>300</v>
      </c>
      <c r="E11" s="45" t="s">
        <v>294</v>
      </c>
      <c r="F11" s="45" t="s">
        <v>295</v>
      </c>
      <c r="G11" s="45" t="s">
        <v>303</v>
      </c>
      <c r="H11" s="45" t="s">
        <v>304</v>
      </c>
      <c r="J11" s="49" t="s">
        <v>323</v>
      </c>
      <c r="Q11" s="49" t="s">
        <v>324</v>
      </c>
    </row>
    <row r="12" spans="2:17">
      <c r="B12" s="45" t="s">
        <v>325</v>
      </c>
      <c r="C12" s="45" t="s">
        <v>292</v>
      </c>
      <c r="D12" s="45" t="s">
        <v>293</v>
      </c>
      <c r="E12" s="45" t="s">
        <v>294</v>
      </c>
      <c r="F12" s="45" t="s">
        <v>295</v>
      </c>
      <c r="G12" s="45" t="s">
        <v>303</v>
      </c>
      <c r="H12" s="45" t="s">
        <v>297</v>
      </c>
      <c r="J12" s="38">
        <f>COUNTIF(G3:G13,G10)</f>
        <v>5</v>
      </c>
      <c r="Q12" s="38">
        <f>COUNTIFS(F3:F13,F7,D3:D13,D11)</f>
        <v>1</v>
      </c>
    </row>
    <row r="13" spans="2:17">
      <c r="B13" s="45" t="s">
        <v>326</v>
      </c>
      <c r="C13" s="45" t="s">
        <v>308</v>
      </c>
      <c r="D13" s="45" t="s">
        <v>311</v>
      </c>
      <c r="E13" s="45" t="s">
        <v>315</v>
      </c>
      <c r="F13" s="45" t="s">
        <v>316</v>
      </c>
      <c r="G13" s="45" t="s">
        <v>296</v>
      </c>
      <c r="H13" s="45" t="s">
        <v>317</v>
      </c>
      <c r="J13" s="49" t="s">
        <v>327</v>
      </c>
      <c r="Q13" s="49" t="s">
        <v>328</v>
      </c>
    </row>
    <row r="14" spans="2:17">
      <c r="J14" s="38">
        <f>COUNTIF(F3:F13,F11)</f>
        <v>5</v>
      </c>
      <c r="Q14" s="38">
        <f>COUNTIFS(F3:F13,F10,E3:E13,E12)</f>
        <v>1</v>
      </c>
    </row>
    <row r="15" spans="2:17">
      <c r="J15" s="49" t="s">
        <v>329</v>
      </c>
      <c r="Q15" s="49" t="s">
        <v>330</v>
      </c>
    </row>
    <row r="16" spans="2:17">
      <c r="J16" s="38">
        <f>COUNTIF(H3:H13,H9)</f>
        <v>4</v>
      </c>
      <c r="Q16" s="38">
        <f>COUNTIFS(D3:D13,D4,G3:G13,G8)</f>
        <v>2</v>
      </c>
    </row>
    <row r="17" spans="10:17">
      <c r="J17" s="49" t="s">
        <v>331</v>
      </c>
      <c r="Q17" s="49" t="s">
        <v>332</v>
      </c>
    </row>
    <row r="18" spans="10:17">
      <c r="J18" s="38">
        <f>COUNTIF(E3:E13,E13)</f>
        <v>2</v>
      </c>
      <c r="Q18">
        <f>COUNTIFS(C3:C13,C11,D3:D13,D11,E3:E13,E11)</f>
        <v>1</v>
      </c>
    </row>
    <row r="19" spans="10:17">
      <c r="J19" s="49" t="s">
        <v>333</v>
      </c>
    </row>
    <row r="20" spans="10:17" ht="15" customHeight="1">
      <c r="J20">
        <f>COUNTIF(C3:C13,C11)</f>
        <v>3</v>
      </c>
    </row>
    <row r="21" spans="10:17" ht="15.75" customHeight="1"/>
    <row r="22" spans="10:17" ht="15.75" customHeight="1"/>
    <row r="23" spans="10:17" ht="15.75" customHeight="1"/>
    <row r="24" spans="10:17" ht="15.75" customHeight="1"/>
    <row r="25" spans="10:17" ht="15.75" customHeight="1"/>
    <row r="26" spans="10:17" ht="15.75" customHeight="1"/>
    <row r="27" spans="10:17" ht="15.75" customHeight="1"/>
    <row r="28" spans="10:17" ht="15.75" customHeight="1"/>
    <row r="29" spans="10:17" ht="15.75" customHeight="1"/>
    <row r="30" spans="10:17" ht="15.75" customHeight="1"/>
    <row r="31" spans="10:17" ht="15.75" customHeight="1"/>
    <row r="32" spans="10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Chapter3</vt:lpstr>
      <vt:lpstr>FUNCTIONS</vt:lpstr>
      <vt:lpstr>MATHEMATICAL FUNCTION</vt:lpstr>
      <vt:lpstr>DESCRIPTION</vt:lpstr>
      <vt:lpstr>SUM,AVERAGE,ROUND,MAX,MIN</vt:lpstr>
      <vt:lpstr>Transportation_Cost_Analysis</vt:lpstr>
      <vt:lpstr>DESCRIPTIONS</vt:lpstr>
      <vt:lpstr>COUNT,COUNTA</vt:lpstr>
      <vt:lpstr>Product_Pricing&amp;Discount_Regist</vt:lpstr>
      <vt:lpstr>EXCERCISE-1 </vt:lpstr>
      <vt:lpstr>Description_Sumif</vt:lpstr>
      <vt:lpstr>EXCERCISE-2</vt:lpstr>
      <vt:lpstr>Description_Sumifs</vt:lpstr>
      <vt:lpstr>SUMIFS</vt:lpstr>
      <vt:lpstr>SUMIF</vt:lpstr>
      <vt:lpstr>EXCERCISE-3</vt:lpstr>
      <vt:lpstr>Description_Countif</vt:lpstr>
      <vt:lpstr>Description_Countifs</vt:lpstr>
      <vt:lpstr>COUNTIF&amp;COUNTIFS</vt:lpstr>
      <vt:lpstr>EXCERCISE-4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DELL</cp:lastModifiedBy>
  <dcterms:created xsi:type="dcterms:W3CDTF">2024-12-31T07:12:00Z</dcterms:created>
  <dcterms:modified xsi:type="dcterms:W3CDTF">2026-07-01T07:47:58Z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D5A8685AAC454AF38F3011A208AD1A1C_11</vt:lpwstr>
  </property>
  <property fmtid="{D5CDD505-2E9C-101B-9397-08002B2CF9AE}" pid="3" name="KSOProductBuildVer">
    <vt:lpwstr>1033-12.2.0.18639</vt:lpwstr>
  </property>
</Properties>
</file>